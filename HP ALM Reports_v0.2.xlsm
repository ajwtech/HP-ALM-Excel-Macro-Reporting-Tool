
<file path=[Content_Types].xml><?xml version="1.0" encoding="utf-8"?>
<Types xmlns="http://schemas.openxmlformats.org/package/2006/content-types">
  <Default Extension="png" ContentType="image/png"/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Definition2.xml" ContentType="application/vnd.openxmlformats-officedocument.spreadsheetml.pivotCacheDefinition+xml"/>
  <Override PartName="/xl/pivotCache/pivotCacheDefinition3.xml" ContentType="application/vnd.openxmlformats-officedocument.spreadsheetml.pivotCacheDefinition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pivotTables/pivotTable1.xml" ContentType="application/vnd.openxmlformats-officedocument.spreadsheetml.pivotTable+xml"/>
  <Override PartName="/xl/drawings/drawing3.xml" ContentType="application/vnd.openxmlformats-officedocument.drawing+xml"/>
  <Override PartName="/xl/ctrlProps/ctrlProp5.xml" ContentType="application/vnd.ms-excel.controlproperties+xml"/>
  <Override PartName="/xl/pivotTables/pivotTable2.xml" ContentType="application/vnd.openxmlformats-officedocument.spreadsheetml.pivotTable+xml"/>
  <Override PartName="/xl/drawings/drawing4.xml" ContentType="application/vnd.openxmlformats-officedocument.drawing+xml"/>
  <Override PartName="/xl/ctrlProps/ctrlProp6.xml" ContentType="application/vnd.ms-excel.controlproperties+xml"/>
  <Override PartName="/xl/drawings/drawing5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6.xml" ContentType="application/vnd.openxmlformats-officedocument.drawing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pivotTables/pivotTable3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D:\Optus\Excel Macro\"/>
    </mc:Choice>
  </mc:AlternateContent>
  <bookViews>
    <workbookView xWindow="240" yWindow="105" windowWidth="14805" windowHeight="8010" tabRatio="770" firstSheet="1" activeTab="1"/>
  </bookViews>
  <sheets>
    <sheet name="Index" sheetId="8" r:id="rId1"/>
    <sheet name="1-ALM Login" sheetId="7" r:id="rId2"/>
    <sheet name="2-TCER Summary" sheetId="1" r:id="rId3"/>
    <sheet name="3-Defects Summary" sheetId="9" r:id="rId4"/>
    <sheet name="4-Metrics" sheetId="4" r:id="rId5"/>
    <sheet name="5-Plan vs Actual" sheetId="3" r:id="rId6"/>
    <sheet name="6-Tester effort" sheetId="5" r:id="rId7"/>
    <sheet name="TCER Data" sheetId="6" r:id="rId8"/>
    <sheet name="Defects List" sheetId="10" r:id="rId9"/>
  </sheets>
  <functionGroups builtInGroupCount="18"/>
  <definedNames>
    <definedName name="_xlnm._FilterDatabase" localSheetId="8" hidden="1">'Defects List'!$P:$P</definedName>
    <definedName name="_xlnm._FilterDatabase" localSheetId="7" hidden="1">'TCER Data'!$B:$B</definedName>
    <definedName name="_xlnm.Extract" localSheetId="4">'4-Metrics'!$Q$2</definedName>
  </definedNames>
  <calcPr calcId="152511"/>
  <pivotCaches>
    <pivotCache cacheId="60" r:id="rId10"/>
    <pivotCache cacheId="73" r:id="rId11"/>
    <pivotCache cacheId="72" r:id="rId12"/>
  </pivotCaches>
</workbook>
</file>

<file path=xl/calcChain.xml><?xml version="1.0" encoding="utf-8"?>
<calcChain xmlns="http://schemas.openxmlformats.org/spreadsheetml/2006/main">
  <c r="B30" i="3" l="1"/>
  <c r="B6" i="3"/>
  <c r="B5" i="3"/>
  <c r="C20" i="4"/>
  <c r="C22" i="4"/>
  <c r="C7" i="4"/>
  <c r="C9" i="4" l="1"/>
  <c r="C21" i="4" l="1"/>
  <c r="C19" i="4"/>
  <c r="C24" i="4"/>
  <c r="C17" i="4"/>
  <c r="C18" i="4" l="1"/>
  <c r="D18" i="4" s="1"/>
  <c r="D22" i="4"/>
  <c r="D19" i="4"/>
  <c r="D20" i="4"/>
  <c r="D21" i="4"/>
  <c r="B29" i="3"/>
  <c r="B27" i="3"/>
  <c r="B28" i="3" s="1"/>
  <c r="C6" i="4"/>
  <c r="C8" i="4"/>
  <c r="C10" i="4"/>
  <c r="C29" i="3" l="1"/>
  <c r="C23" i="4"/>
  <c r="D23" i="4" s="1"/>
  <c r="C30" i="3"/>
  <c r="C2" i="4"/>
  <c r="C3" i="4" s="1"/>
  <c r="C5" i="4"/>
  <c r="C12" i="4" l="1"/>
  <c r="C11" i="4"/>
  <c r="C14" i="4"/>
  <c r="D14" i="4" l="1"/>
  <c r="C15" i="4"/>
  <c r="D15" i="4" s="1"/>
  <c r="D5" i="4"/>
  <c r="D9" i="4"/>
  <c r="D6" i="4"/>
  <c r="D10" i="4"/>
  <c r="D7" i="4"/>
  <c r="D11" i="4"/>
  <c r="D8" i="4"/>
  <c r="D12" i="4"/>
</calcChain>
</file>

<file path=xl/comments1.xml><?xml version="1.0" encoding="utf-8"?>
<comments xmlns="http://schemas.openxmlformats.org/spreadsheetml/2006/main">
  <authors>
    <author>Acharya</author>
  </authors>
  <commentList>
    <comment ref="G1" authorId="0" shapeId="0">
      <text>
        <r>
          <rPr>
            <sz val="9"/>
            <color indexed="81"/>
            <rFont val="Tahoma"/>
            <family val="2"/>
          </rPr>
          <t xml:space="preserve">Click to get cycle-wise report. To get latest update first click Generate Report button in sheet TCER Summary
</t>
        </r>
      </text>
    </comment>
    <comment ref="R1" authorId="0" shapeId="0">
      <text>
        <r>
          <rPr>
            <sz val="9"/>
            <color indexed="81"/>
            <rFont val="Tahoma"/>
            <family val="2"/>
          </rPr>
          <t>Click to get defect sub-wise report. To get latest update first click Generate Report button in sheet Defect Summary</t>
        </r>
      </text>
    </comment>
  </commentList>
</comments>
</file>

<file path=xl/sharedStrings.xml><?xml version="1.0" encoding="utf-8"?>
<sst xmlns="http://schemas.openxmlformats.org/spreadsheetml/2006/main" count="317" uniqueCount="193">
  <si>
    <t>Grand Total</t>
  </si>
  <si>
    <t>Test Status</t>
  </si>
  <si>
    <t>Planned Completion (where we should be)</t>
  </si>
  <si>
    <t>Total Test cases</t>
  </si>
  <si>
    <t>Actual Completion (where we are)</t>
  </si>
  <si>
    <t>Applicable Test cases</t>
  </si>
  <si>
    <t>Enter Date</t>
  </si>
  <si>
    <t>Total Test Cases</t>
  </si>
  <si>
    <t>Sr. No</t>
  </si>
  <si>
    <t>Testing Metric</t>
  </si>
  <si>
    <t>Total Test Cases Executed</t>
  </si>
  <si>
    <t>Total Test Cases Passed</t>
  </si>
  <si>
    <t>Total Test Cases Failed</t>
  </si>
  <si>
    <t>Total Test Cases Blocked</t>
  </si>
  <si>
    <t>Total Test Cases Not Completed</t>
  </si>
  <si>
    <t>Total Test Cases No Run</t>
  </si>
  <si>
    <t>Total Test Cases N/A</t>
  </si>
  <si>
    <t>Total Test Cases Retest</t>
  </si>
  <si>
    <t>Total Test Cases Deferred</t>
  </si>
  <si>
    <t>Total Test Cases Not Executed</t>
  </si>
  <si>
    <t>Total Days</t>
  </si>
  <si>
    <t>Total Work Days</t>
  </si>
  <si>
    <t>TCER Data</t>
  </si>
  <si>
    <t>Project:</t>
  </si>
  <si>
    <t>Login Name:</t>
  </si>
  <si>
    <t>Password:</t>
  </si>
  <si>
    <t>Domain:</t>
  </si>
  <si>
    <t>HP ALM Url:</t>
  </si>
  <si>
    <t>(eg: http://tstprdappw001.optus.com.au:8080/qcbin)</t>
  </si>
  <si>
    <t>(eg: anand acharya)</t>
  </si>
  <si>
    <t>(eg: optus123)</t>
  </si>
  <si>
    <t>(eg: ACTIVE_PROJECTS)</t>
  </si>
  <si>
    <t>(eg: TG004_EPL)</t>
  </si>
  <si>
    <t>Enter your HP ALM crendentials:-</t>
  </si>
  <si>
    <t>(click "Test Lab Folder Id" button and enter the required folder Id eg: AAAAABAAD or AAAAABAAD% )</t>
  </si>
  <si>
    <t>(MM/DD/YY)</t>
  </si>
  <si>
    <t>No Run</t>
  </si>
  <si>
    <t>Passed</t>
  </si>
  <si>
    <t>Test Execution Start Date</t>
  </si>
  <si>
    <t>Test Execution End Date</t>
  </si>
  <si>
    <t>Date</t>
  </si>
  <si>
    <t>Below table shows the records of test cases updated in QC by the tester:</t>
  </si>
  <si>
    <t>Note:</t>
  </si>
  <si>
    <r>
      <t xml:space="preserve">- Click </t>
    </r>
    <r>
      <rPr>
        <b/>
        <sz val="8"/>
        <color theme="1"/>
        <rFont val="Calibri"/>
        <family val="2"/>
        <scheme val="minor"/>
      </rPr>
      <t>Create Plan</t>
    </r>
    <r>
      <rPr>
        <sz val="8"/>
        <color theme="1"/>
        <rFont val="Calibri"/>
        <family val="2"/>
        <scheme val="minor"/>
      </rPr>
      <t xml:space="preserve"> button to get estimate count of test cases to execute from start to end date</t>
    </r>
  </si>
  <si>
    <r>
      <t xml:space="preserve">- Click </t>
    </r>
    <r>
      <rPr>
        <b/>
        <sz val="8"/>
        <color theme="1"/>
        <rFont val="Calibri"/>
        <family val="2"/>
        <scheme val="minor"/>
      </rPr>
      <t xml:space="preserve">Show Actual </t>
    </r>
    <r>
      <rPr>
        <sz val="8"/>
        <color theme="1"/>
        <rFont val="Calibri"/>
        <family val="2"/>
        <scheme val="minor"/>
      </rPr>
      <t>button to get count of test cases executed from start to end date</t>
    </r>
  </si>
  <si>
    <r>
      <t xml:space="preserve">- </t>
    </r>
    <r>
      <rPr>
        <b/>
        <sz val="8"/>
        <color theme="1"/>
        <rFont val="Calibri"/>
        <family val="2"/>
        <scheme val="minor"/>
      </rPr>
      <t>Enter Date</t>
    </r>
    <r>
      <rPr>
        <sz val="8"/>
        <color theme="1"/>
        <rFont val="Calibri"/>
        <family val="2"/>
        <scheme val="minor"/>
      </rPr>
      <t xml:space="preserve"> and click </t>
    </r>
    <r>
      <rPr>
        <b/>
        <sz val="8"/>
        <color theme="1"/>
        <rFont val="Calibri"/>
        <family val="2"/>
        <scheme val="minor"/>
      </rPr>
      <t>Plan Vs Actual</t>
    </r>
    <r>
      <rPr>
        <sz val="8"/>
        <color theme="1"/>
        <rFont val="Calibri"/>
        <family val="2"/>
        <scheme val="minor"/>
      </rPr>
      <t xml:space="preserve"> button to get comparison of planned and actual test cases till the entered date</t>
    </r>
  </si>
  <si>
    <t xml:space="preserve">- After generating report in sheet 2, enter planned/actual execution start and end date, and total test cases </t>
  </si>
  <si>
    <t>Failed</t>
  </si>
  <si>
    <t>Blocked</t>
  </si>
  <si>
    <t>Not Completed</t>
  </si>
  <si>
    <t>Row Labels</t>
  </si>
  <si>
    <t>Column Labels</t>
  </si>
  <si>
    <t>Count of Test_Status</t>
  </si>
  <si>
    <t>(All)</t>
  </si>
  <si>
    <t>Version</t>
  </si>
  <si>
    <t>Version Control</t>
  </si>
  <si>
    <t>Section &amp; Amendment Made</t>
  </si>
  <si>
    <t>OPTUS - IVSBBAU</t>
  </si>
  <si>
    <t>Tool Details</t>
  </si>
  <si>
    <t>Name</t>
  </si>
  <si>
    <t>HP ALM Report</t>
  </si>
  <si>
    <t>Project</t>
  </si>
  <si>
    <t>Programming Language</t>
  </si>
  <si>
    <t>Pre Requisites for the tool</t>
  </si>
  <si>
    <t>1. HP ALM Add-Ins “HP Quality Center Connectivity” and “HP ALM Client Registration” are installed in your machine.</t>
  </si>
  <si>
    <t>2. The excel workbook is not changed by deleting rows/columns or by renaming any worksheet.</t>
  </si>
  <si>
    <t>Developed by</t>
  </si>
  <si>
    <t>MS VBA, SQL</t>
  </si>
  <si>
    <t>Anand Acharya (aa00329461@techmahindra.com)</t>
  </si>
  <si>
    <t>Initial draft to fetch TCER records and generate report</t>
  </si>
  <si>
    <r>
      <t xml:space="preserve">Test Lab Folder Id </t>
    </r>
    <r>
      <rPr>
        <sz val="9"/>
        <color theme="1"/>
        <rFont val="Calibri"/>
        <family val="2"/>
        <scheme val="minor"/>
      </rPr>
      <t>(for TCER report)</t>
    </r>
    <r>
      <rPr>
        <sz val="11"/>
        <color theme="1"/>
        <rFont val="Calibri"/>
        <family val="2"/>
        <scheme val="minor"/>
      </rPr>
      <t>:</t>
    </r>
  </si>
  <si>
    <r>
      <t xml:space="preserve">Test Plan Folder Id </t>
    </r>
    <r>
      <rPr>
        <sz val="9"/>
        <color theme="1"/>
        <rFont val="Calibri"/>
        <family val="2"/>
        <scheme val="minor"/>
      </rPr>
      <t>(for Defects report)</t>
    </r>
    <r>
      <rPr>
        <sz val="11"/>
        <color theme="1"/>
        <rFont val="Calibri"/>
        <family val="2"/>
        <scheme val="minor"/>
      </rPr>
      <t>:</t>
    </r>
  </si>
  <si>
    <t>3 - Medium</t>
  </si>
  <si>
    <t>Closed</t>
  </si>
  <si>
    <t>2 - High</t>
  </si>
  <si>
    <t>Verified</t>
  </si>
  <si>
    <t>Open</t>
  </si>
  <si>
    <t>Assigned</t>
  </si>
  <si>
    <t>Ready to Test</t>
  </si>
  <si>
    <t>TEST_PHASE</t>
  </si>
  <si>
    <t>DEFECT_ID</t>
  </si>
  <si>
    <t>SUMMARY</t>
  </si>
  <si>
    <t>COMPONENT</t>
  </si>
  <si>
    <t>SEVERITY</t>
  </si>
  <si>
    <t>PRIORITY</t>
  </si>
  <si>
    <t>STATUS</t>
  </si>
  <si>
    <t>ASSIGNED_TO</t>
  </si>
  <si>
    <t>DETECTED_BY</t>
  </si>
  <si>
    <t>DETECTION_DATE</t>
  </si>
  <si>
    <t>CLOSING_DATE</t>
  </si>
  <si>
    <t>ROOT_CAUSE</t>
  </si>
  <si>
    <t>ROOT_CAUSE_DETAILS</t>
  </si>
  <si>
    <t>RESOLUTION</t>
  </si>
  <si>
    <t>SUBJECT</t>
  </si>
  <si>
    <t>Severity</t>
  </si>
  <si>
    <t>Status</t>
  </si>
  <si>
    <t>Closed Total</t>
  </si>
  <si>
    <t>Open Total</t>
  </si>
  <si>
    <t>DEFECT_AGE</t>
  </si>
  <si>
    <t>Total Valid Defects</t>
  </si>
  <si>
    <t>Total Identified Defects</t>
  </si>
  <si>
    <t>Total Valid Test Cases</t>
  </si>
  <si>
    <t>Total Open Defects</t>
  </si>
  <si>
    <t>Total Closed Defects</t>
  </si>
  <si>
    <t>Total Severity 1&amp;2 Defects</t>
  </si>
  <si>
    <t>Total Severity 3&amp;4 Defects</t>
  </si>
  <si>
    <t>Total Rejected Defects</t>
  </si>
  <si>
    <t>Average Defect Age</t>
  </si>
  <si>
    <t>days</t>
  </si>
  <si>
    <t>TEST_FOLDER</t>
  </si>
  <si>
    <t>TEST_STATUS</t>
  </si>
  <si>
    <t>TESTER</t>
  </si>
  <si>
    <t>PLAN_EXECUTION_DATE</t>
  </si>
  <si>
    <t>ACTUAL_EXECUTION_DATE</t>
  </si>
  <si>
    <t>TEST_PRIORITY</t>
  </si>
  <si>
    <t>TEST_NAME</t>
  </si>
  <si>
    <t>TOTAL</t>
  </si>
  <si>
    <t>click below button to show TCER summary</t>
  </si>
  <si>
    <t>click below button to show defects summary</t>
  </si>
  <si>
    <t>Count of Defects</t>
  </si>
  <si>
    <t>(click "Test Plan Folder Id" button and enter the required folder Id eg: AAAAAPAAN or AAAAAPAAN%)</t>
  </si>
  <si>
    <t>SEV-1</t>
  </si>
  <si>
    <t>SEV-2</t>
  </si>
  <si>
    <t>SEV-3</t>
  </si>
  <si>
    <t>SEV-4</t>
  </si>
  <si>
    <t>Tool modified to fetch defects records and generate report. Updated metrics</t>
  </si>
  <si>
    <t>High</t>
  </si>
  <si>
    <t>ATTACHMENT</t>
  </si>
  <si>
    <t>4. UAT</t>
  </si>
  <si>
    <t>P2 - Mandatory</t>
  </si>
  <si>
    <t>Configuration</t>
  </si>
  <si>
    <t>Configuration - Application</t>
  </si>
  <si>
    <t>Y</t>
  </si>
  <si>
    <t>Invalid Defect</t>
  </si>
  <si>
    <t>Not a Requirement</t>
  </si>
  <si>
    <t>Application Code</t>
  </si>
  <si>
    <t>Application - Code</t>
  </si>
  <si>
    <t>ARBOR</t>
  </si>
  <si>
    <t>Note: Refer sheet "Defects List" for all defect details after clicking generate report button</t>
  </si>
  <si>
    <t>OPOM</t>
  </si>
  <si>
    <t>1 - Critical</t>
  </si>
  <si>
    <t>Medium</t>
  </si>
  <si>
    <t>TEST_SET</t>
  </si>
  <si>
    <t>N/A</t>
  </si>
  <si>
    <t>Test Folder/ Test Set</t>
  </si>
  <si>
    <t>Count of TEST_STATUS</t>
  </si>
  <si>
    <t>%COMPLETE</t>
  </si>
  <si>
    <t>TOTAL TCs</t>
  </si>
  <si>
    <t>TOTAL EXECUTED</t>
  </si>
  <si>
    <t>PASSED</t>
  </si>
  <si>
    <t>FAILED</t>
  </si>
  <si>
    <t>BLOCKED</t>
  </si>
  <si>
    <t>NOT COMPLETED</t>
  </si>
  <si>
    <t>NO RUN</t>
  </si>
  <si>
    <t>DESCOPED</t>
  </si>
  <si>
    <t>Fold1</t>
  </si>
  <si>
    <t>Fold2</t>
  </si>
  <si>
    <t>Fold3</t>
  </si>
  <si>
    <t>Set1</t>
  </si>
  <si>
    <t>Set2</t>
  </si>
  <si>
    <t>Set3</t>
  </si>
  <si>
    <t>Set4</t>
  </si>
  <si>
    <t>Set5</t>
  </si>
  <si>
    <t>Functionality Not delivered</t>
  </si>
  <si>
    <t>Retest</t>
  </si>
  <si>
    <t>Fold4</t>
  </si>
  <si>
    <t>Set6</t>
  </si>
  <si>
    <t>Tester1</t>
  </si>
  <si>
    <t>Tester2</t>
  </si>
  <si>
    <t>Tester3</t>
  </si>
  <si>
    <t>Tester4</t>
  </si>
  <si>
    <t>TC1</t>
  </si>
  <si>
    <t>TC2</t>
  </si>
  <si>
    <t>TC3</t>
  </si>
  <si>
    <t>TC4</t>
  </si>
  <si>
    <t>TC5</t>
  </si>
  <si>
    <t>TC6</t>
  </si>
  <si>
    <t>TC7</t>
  </si>
  <si>
    <t>TC8</t>
  </si>
  <si>
    <t>TC9</t>
  </si>
  <si>
    <t>TC10</t>
  </si>
  <si>
    <t>TC11</t>
  </si>
  <si>
    <t>TC12</t>
  </si>
  <si>
    <t>UAT1</t>
  </si>
  <si>
    <t>UAT2</t>
  </si>
  <si>
    <t>UAT3</t>
  </si>
  <si>
    <t>UAT4</t>
  </si>
  <si>
    <t>UAT5</t>
  </si>
  <si>
    <t>SOS</t>
  </si>
  <si>
    <t>3 - Low</t>
  </si>
  <si>
    <t>Sub1</t>
  </si>
  <si>
    <t>Sub2</t>
  </si>
  <si>
    <t>Sub3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</si>
</sst>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5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i/>
      <sz val="11"/>
      <color rgb="FF000000"/>
      <name val="Book Antiqua"/>
      <family val="1"/>
    </font>
    <font>
      <i/>
      <sz val="8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1"/>
      <color rgb="FF000000"/>
      <name val="Calibri"/>
      <family val="2"/>
    </font>
    <font>
      <sz val="8"/>
      <color theme="1"/>
      <name val="Calibri"/>
      <family val="2"/>
      <scheme val="minor"/>
    </font>
    <font>
      <b/>
      <sz val="8"/>
      <color theme="1"/>
      <name val="Calibri"/>
      <family val="2"/>
      <scheme val="minor"/>
    </font>
    <font>
      <b/>
      <sz val="11"/>
      <color indexed="9"/>
      <name val="Calibri"/>
      <family val="2"/>
    </font>
    <font>
      <b/>
      <sz val="11"/>
      <color indexed="51"/>
      <name val="Calibri"/>
      <family val="2"/>
    </font>
    <font>
      <sz val="9"/>
      <color theme="1"/>
      <name val="Calibri"/>
      <family val="2"/>
      <scheme val="minor"/>
    </font>
    <font>
      <i/>
      <sz val="9"/>
      <color theme="1"/>
      <name val="Calibri"/>
      <family val="2"/>
      <scheme val="minor"/>
    </font>
    <font>
      <i/>
      <sz val="11"/>
      <color rgb="FF000000"/>
      <name val="Calibri"/>
      <family val="2"/>
    </font>
    <font>
      <sz val="9"/>
      <color indexed="81"/>
      <name val="Tahoma"/>
      <family val="2"/>
    </font>
  </fonts>
  <fills count="13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indexed="49"/>
        <bgColor indexed="64"/>
      </patternFill>
    </fill>
    <fill>
      <patternFill patternType="solid">
        <fgColor indexed="21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13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78"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  <xf numFmtId="14" fontId="0" fillId="0" borderId="0" xfId="0" applyNumberFormat="1"/>
    <xf numFmtId="0" fontId="0" fillId="0" borderId="0" xfId="0" applyAlignment="1">
      <alignment horizontal="left" indent="1"/>
    </xf>
    <xf numFmtId="0" fontId="0" fillId="3" borderId="0" xfId="0" applyFill="1" applyProtection="1"/>
    <xf numFmtId="0" fontId="0" fillId="3" borderId="1" xfId="0" applyFill="1" applyBorder="1" applyProtection="1"/>
    <xf numFmtId="0" fontId="0" fillId="3" borderId="0" xfId="0" applyNumberFormat="1" applyFill="1" applyProtection="1"/>
    <xf numFmtId="0" fontId="0" fillId="3" borderId="0" xfId="0" applyFill="1" applyBorder="1" applyProtection="1"/>
    <xf numFmtId="0" fontId="0" fillId="3" borderId="2" xfId="0" applyFill="1" applyBorder="1" applyProtection="1"/>
    <xf numFmtId="0" fontId="0" fillId="3" borderId="2" xfId="0" applyNumberFormat="1" applyFill="1" applyBorder="1" applyProtection="1"/>
    <xf numFmtId="1" fontId="0" fillId="3" borderId="2" xfId="0" applyNumberFormat="1" applyFill="1" applyBorder="1" applyProtection="1"/>
    <xf numFmtId="1" fontId="0" fillId="3" borderId="0" xfId="0" applyNumberFormat="1" applyFill="1" applyProtection="1"/>
    <xf numFmtId="14" fontId="0" fillId="3" borderId="0" xfId="0" applyNumberFormat="1" applyFill="1" applyProtection="1"/>
    <xf numFmtId="0" fontId="0" fillId="3" borderId="0" xfId="0" applyFill="1" applyAlignment="1" applyProtection="1">
      <alignment horizontal="left"/>
    </xf>
    <xf numFmtId="0" fontId="0" fillId="3" borderId="1" xfId="0" applyFill="1" applyBorder="1" applyAlignment="1" applyProtection="1">
      <alignment wrapText="1"/>
    </xf>
    <xf numFmtId="15" fontId="0" fillId="4" borderId="1" xfId="0" applyNumberFormat="1" applyFill="1" applyBorder="1" applyProtection="1"/>
    <xf numFmtId="0" fontId="0" fillId="4" borderId="1" xfId="0" applyFill="1" applyBorder="1" applyProtection="1"/>
    <xf numFmtId="0" fontId="0" fillId="5" borderId="1" xfId="0" applyFill="1" applyBorder="1" applyProtection="1"/>
    <xf numFmtId="0" fontId="0" fillId="5" borderId="3" xfId="0" applyFill="1" applyBorder="1" applyProtection="1"/>
    <xf numFmtId="1" fontId="0" fillId="5" borderId="1" xfId="0" applyNumberFormat="1" applyFill="1" applyBorder="1" applyProtection="1"/>
    <xf numFmtId="9" fontId="0" fillId="5" borderId="1" xfId="1" applyFont="1" applyFill="1" applyBorder="1" applyProtection="1"/>
    <xf numFmtId="0" fontId="4" fillId="3" borderId="0" xfId="0" applyFont="1" applyFill="1" applyProtection="1"/>
    <xf numFmtId="0" fontId="4" fillId="0" borderId="0" xfId="0" applyFont="1" applyAlignment="1">
      <alignment vertical="top"/>
    </xf>
    <xf numFmtId="0" fontId="0" fillId="5" borderId="1" xfId="0" applyFill="1" applyBorder="1" applyAlignment="1" applyProtection="1">
      <alignment horizontal="left"/>
    </xf>
    <xf numFmtId="9" fontId="0" fillId="5" borderId="1" xfId="1" applyFont="1" applyFill="1" applyBorder="1" applyAlignment="1" applyProtection="1">
      <alignment horizontal="left"/>
    </xf>
    <xf numFmtId="0" fontId="0" fillId="2" borderId="1" xfId="0" applyFill="1" applyBorder="1" applyAlignment="1" applyProtection="1">
      <alignment horizontal="left"/>
    </xf>
    <xf numFmtId="0" fontId="2" fillId="2" borderId="1" xfId="0" applyFont="1" applyFill="1" applyBorder="1" applyAlignment="1" applyProtection="1">
      <alignment horizontal="left"/>
    </xf>
    <xf numFmtId="0" fontId="0" fillId="3" borderId="0" xfId="0" applyFill="1" applyBorder="1" applyAlignment="1" applyProtection="1">
      <alignment horizontal="left"/>
    </xf>
    <xf numFmtId="0" fontId="0" fillId="3" borderId="1" xfId="0" applyFill="1" applyBorder="1" applyAlignment="1" applyProtection="1">
      <alignment horizontal="left"/>
    </xf>
    <xf numFmtId="9" fontId="0" fillId="3" borderId="0" xfId="1" applyFont="1" applyFill="1" applyBorder="1" applyAlignment="1" applyProtection="1">
      <alignment horizontal="left"/>
    </xf>
    <xf numFmtId="22" fontId="0" fillId="0" borderId="0" xfId="0" applyNumberFormat="1"/>
    <xf numFmtId="0" fontId="7" fillId="3" borderId="4" xfId="0" quotePrefix="1" applyNumberFormat="1" applyFont="1" applyFill="1" applyBorder="1" applyProtection="1"/>
    <xf numFmtId="0" fontId="0" fillId="3" borderId="5" xfId="0" applyNumberFormat="1" applyFill="1" applyBorder="1" applyProtection="1"/>
    <xf numFmtId="0" fontId="0" fillId="3" borderId="5" xfId="0" applyFill="1" applyBorder="1" applyProtection="1"/>
    <xf numFmtId="0" fontId="0" fillId="3" borderId="6" xfId="0" applyFill="1" applyBorder="1" applyProtection="1"/>
    <xf numFmtId="0" fontId="7" fillId="3" borderId="7" xfId="0" quotePrefix="1" applyNumberFormat="1" applyFont="1" applyFill="1" applyBorder="1" applyProtection="1"/>
    <xf numFmtId="0" fontId="0" fillId="3" borderId="0" xfId="0" applyNumberFormat="1" applyFill="1" applyBorder="1" applyProtection="1"/>
    <xf numFmtId="0" fontId="0" fillId="3" borderId="8" xfId="0" applyFill="1" applyBorder="1" applyProtection="1"/>
    <xf numFmtId="0" fontId="7" fillId="3" borderId="9" xfId="0" quotePrefix="1" applyNumberFormat="1" applyFont="1" applyFill="1" applyBorder="1" applyProtection="1"/>
    <xf numFmtId="0" fontId="0" fillId="3" borderId="10" xfId="0" applyNumberFormat="1" applyFill="1" applyBorder="1" applyProtection="1"/>
    <xf numFmtId="0" fontId="0" fillId="3" borderId="10" xfId="0" applyFill="1" applyBorder="1" applyProtection="1"/>
    <xf numFmtId="0" fontId="0" fillId="3" borderId="11" xfId="0" applyFill="1" applyBorder="1" applyProtection="1"/>
    <xf numFmtId="0" fontId="8" fillId="3" borderId="1" xfId="0" applyNumberFormat="1" applyFont="1" applyFill="1" applyBorder="1" applyProtection="1"/>
    <xf numFmtId="0" fontId="0" fillId="0" borderId="1" xfId="0" applyFont="1" applyBorder="1" applyAlignment="1">
      <alignment horizontal="left"/>
    </xf>
    <xf numFmtId="0" fontId="0" fillId="0" borderId="1" xfId="0" applyFont="1" applyBorder="1" applyAlignment="1">
      <alignment horizontal="left" vertical="center" wrapText="1"/>
    </xf>
    <xf numFmtId="0" fontId="0" fillId="0" borderId="12" xfId="0" applyBorder="1"/>
    <xf numFmtId="0" fontId="0" fillId="0" borderId="1" xfId="0" applyFont="1" applyBorder="1" applyAlignment="1">
      <alignment horizontal="left" vertical="center"/>
    </xf>
    <xf numFmtId="0" fontId="10" fillId="7" borderId="1" xfId="0" applyFont="1" applyFill="1" applyBorder="1" applyAlignment="1">
      <alignment horizontal="center" vertical="center"/>
    </xf>
    <xf numFmtId="0" fontId="0" fillId="0" borderId="1" xfId="0" applyBorder="1" applyAlignment="1">
      <alignment horizontal="center"/>
    </xf>
    <xf numFmtId="14" fontId="0" fillId="0" borderId="1" xfId="0" applyNumberFormat="1" applyBorder="1" applyAlignment="1">
      <alignment horizontal="center"/>
    </xf>
    <xf numFmtId="0" fontId="0" fillId="0" borderId="8" xfId="0" applyBorder="1"/>
    <xf numFmtId="0" fontId="0" fillId="0" borderId="9" xfId="0" applyBorder="1"/>
    <xf numFmtId="0" fontId="0" fillId="0" borderId="1" xfId="0" applyBorder="1" applyAlignment="1">
      <alignment horizontal="left"/>
    </xf>
    <xf numFmtId="0" fontId="0" fillId="0" borderId="1" xfId="0" applyBorder="1" applyAlignment="1">
      <alignment horizontal="left" vertical="center"/>
    </xf>
    <xf numFmtId="0" fontId="0" fillId="3" borderId="13" xfId="0" applyFill="1" applyBorder="1" applyAlignment="1" applyProtection="1">
      <alignment horizontal="left"/>
    </xf>
    <xf numFmtId="0" fontId="2" fillId="0" borderId="1" xfId="0" applyFont="1" applyBorder="1"/>
    <xf numFmtId="0" fontId="0" fillId="0" borderId="1" xfId="0" applyBorder="1"/>
    <xf numFmtId="0" fontId="0" fillId="3" borderId="0" xfId="0" applyFill="1"/>
    <xf numFmtId="0" fontId="2" fillId="8" borderId="1" xfId="0" applyFont="1" applyFill="1" applyBorder="1"/>
    <xf numFmtId="0" fontId="0" fillId="5" borderId="3" xfId="0" applyFill="1" applyBorder="1" applyAlignment="1" applyProtection="1">
      <alignment horizontal="left"/>
    </xf>
    <xf numFmtId="9" fontId="0" fillId="5" borderId="3" xfId="1" applyFont="1" applyFill="1" applyBorder="1" applyAlignment="1" applyProtection="1">
      <alignment horizontal="left"/>
    </xf>
    <xf numFmtId="2" fontId="0" fillId="5" borderId="13" xfId="0" applyNumberFormat="1" applyFill="1" applyBorder="1" applyAlignment="1" applyProtection="1">
      <alignment horizontal="left"/>
    </xf>
    <xf numFmtId="0" fontId="0" fillId="5" borderId="14" xfId="0" applyFill="1" applyBorder="1" applyAlignment="1" applyProtection="1">
      <alignment horizontal="left"/>
    </xf>
    <xf numFmtId="0" fontId="12" fillId="0" borderId="0" xfId="0" applyFont="1"/>
    <xf numFmtId="0" fontId="0" fillId="3" borderId="0" xfId="0" applyFill="1" applyAlignment="1">
      <alignment vertical="center"/>
    </xf>
    <xf numFmtId="0" fontId="0" fillId="4" borderId="0" xfId="0" applyFill="1"/>
    <xf numFmtId="0" fontId="2" fillId="9" borderId="0" xfId="0" applyFont="1" applyFill="1"/>
    <xf numFmtId="22" fontId="2" fillId="9" borderId="0" xfId="0" applyNumberFormat="1" applyFont="1" applyFill="1"/>
    <xf numFmtId="9" fontId="0" fillId="0" borderId="1" xfId="0" applyNumberFormat="1" applyBorder="1"/>
    <xf numFmtId="9" fontId="2" fillId="0" borderId="1" xfId="0" applyNumberFormat="1" applyFont="1" applyBorder="1"/>
    <xf numFmtId="0" fontId="2" fillId="10" borderId="1" xfId="0" applyFont="1" applyFill="1" applyBorder="1"/>
    <xf numFmtId="0" fontId="2" fillId="11" borderId="1" xfId="0" applyFont="1" applyFill="1" applyBorder="1"/>
    <xf numFmtId="0" fontId="2" fillId="12" borderId="1" xfId="0" applyFont="1" applyFill="1" applyBorder="1"/>
    <xf numFmtId="0" fontId="9" fillId="6" borderId="1" xfId="0" applyFont="1" applyFill="1" applyBorder="1" applyAlignment="1">
      <alignment horizontal="center"/>
    </xf>
    <xf numFmtId="0" fontId="2" fillId="2" borderId="1" xfId="0" applyFont="1" applyFill="1" applyBorder="1" applyAlignment="1" applyProtection="1">
      <alignment horizontal="center"/>
    </xf>
    <xf numFmtId="0" fontId="0" fillId="2" borderId="1" xfId="0" applyFill="1" applyBorder="1" applyAlignment="1" applyProtection="1">
      <alignment horizontal="center"/>
    </xf>
  </cellXfs>
  <cellStyles count="2">
    <cellStyle name="Normal" xfId="0" builtinId="0"/>
    <cellStyle name="Percent" xfId="1" builtinId="5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pivotCacheDefinition" Target="pivotCache/pivotCacheDefinition3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pivotCacheDefinition" Target="pivotCache/pivotCacheDefinition2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pivotCacheDefinition" Target="pivotCache/pivotCacheDefinition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Test Execution Status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rgbClr val="FFC000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rgbClr val="92D050"/>
              </a:solidFill>
              <a:ln>
                <a:noFill/>
              </a:ln>
              <a:effectLst/>
            </c:spPr>
          </c:dPt>
          <c:dPt>
            <c:idx val="1"/>
            <c:invertIfNegative val="0"/>
            <c:bubble3D val="0"/>
            <c:spPr>
              <a:solidFill>
                <a:srgbClr val="FF0000"/>
              </a:solidFill>
              <a:ln>
                <a:noFill/>
              </a:ln>
              <a:effectLst/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'4-Metrics'!$B$5:$B$7</c:f>
              <c:strCache>
                <c:ptCount val="3"/>
                <c:pt idx="0">
                  <c:v>Total Test Cases Passed</c:v>
                </c:pt>
                <c:pt idx="1">
                  <c:v>Total Test Cases Failed</c:v>
                </c:pt>
                <c:pt idx="2">
                  <c:v>Total Test Cases Blocked</c:v>
                </c:pt>
              </c:strCache>
            </c:strRef>
          </c:cat>
          <c:val>
            <c:numRef>
              <c:f>'4-Metrics'!$C$5:$C$7</c:f>
              <c:numCache>
                <c:formatCode>General</c:formatCode>
                <c:ptCount val="3"/>
                <c:pt idx="0">
                  <c:v>2</c:v>
                </c:pt>
                <c:pt idx="1">
                  <c:v>2</c:v>
                </c:pt>
                <c:pt idx="2">
                  <c:v>2</c:v>
                </c:pt>
              </c:numCache>
            </c:numRef>
          </c:val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297822000"/>
        <c:axId val="297820432"/>
      </c:barChart>
      <c:catAx>
        <c:axId val="29782200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97820432"/>
        <c:crosses val="autoZero"/>
        <c:auto val="1"/>
        <c:lblAlgn val="ctr"/>
        <c:lblOffset val="100"/>
        <c:noMultiLvlLbl val="0"/>
      </c:catAx>
      <c:valAx>
        <c:axId val="2978204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978220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Test Completion status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FFC000"/>
              </a:solidFill>
              <a:ln>
                <a:noFill/>
              </a:ln>
              <a:effectLst/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'4-Metrics'!$B$14:$B$15</c:f>
              <c:strCache>
                <c:ptCount val="2"/>
                <c:pt idx="0">
                  <c:v>Total Test Cases Executed</c:v>
                </c:pt>
                <c:pt idx="1">
                  <c:v>Total Test Cases Not Executed</c:v>
                </c:pt>
              </c:strCache>
            </c:strRef>
          </c:cat>
          <c:val>
            <c:numRef>
              <c:f>'4-Metrics'!$C$14:$C$15</c:f>
              <c:numCache>
                <c:formatCode>General</c:formatCode>
                <c:ptCount val="2"/>
                <c:pt idx="0">
                  <c:v>4</c:v>
                </c:pt>
                <c:pt idx="1">
                  <c:v>6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97818472"/>
        <c:axId val="297820040"/>
      </c:barChart>
      <c:catAx>
        <c:axId val="2978184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97820040"/>
        <c:crosses val="autoZero"/>
        <c:auto val="1"/>
        <c:lblAlgn val="ctr"/>
        <c:lblOffset val="100"/>
        <c:noMultiLvlLbl val="0"/>
      </c:catAx>
      <c:valAx>
        <c:axId val="2978200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978184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ctr" rtl="0">
              <a:defRPr lang="en-US" sz="1400" b="0" i="0" u="none" strike="noStrike" kern="1200" spc="0" baseline="0">
                <a:solidFill>
                  <a:sysClr val="windowText" lastClr="000000">
                    <a:lumMod val="65000"/>
                    <a:lumOff val="35000"/>
                  </a:sysClr>
                </a:solidFill>
                <a:latin typeface="+mn-lt"/>
                <a:ea typeface="+mn-ea"/>
                <a:cs typeface="+mn-cs"/>
              </a:defRPr>
            </a:pPr>
            <a:r>
              <a:rPr lang="en-US" sz="1400" b="0" i="0" u="none" strike="noStrike" kern="1200" spc="0" baseline="0">
                <a:solidFill>
                  <a:sysClr val="windowText" lastClr="000000">
                    <a:lumMod val="65000"/>
                    <a:lumOff val="35000"/>
                  </a:sysClr>
                </a:solidFill>
                <a:latin typeface="+mn-lt"/>
                <a:ea typeface="+mn-ea"/>
                <a:cs typeface="+mn-cs"/>
              </a:rPr>
              <a:t>Test Execution Percentage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 rtl="0">
            <a:defRPr lang="en-US" sz="1400" b="0" i="0" u="none" strike="noStrike" kern="1200" spc="0" baseline="0">
              <a:solidFill>
                <a:sysClr val="windowText" lastClr="000000">
                  <a:lumMod val="65000"/>
                  <a:lumOff val="35000"/>
                </a:sys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rgbClr val="92D050"/>
              </a:solidFill>
              <a:ln>
                <a:noFill/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c:spPr>
          </c:dPt>
          <c:dPt>
            <c:idx val="1"/>
            <c:bubble3D val="0"/>
            <c:spPr>
              <a:solidFill>
                <a:srgbClr val="FF0000"/>
              </a:solidFill>
              <a:ln>
                <a:noFill/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c:spPr>
          </c:dPt>
          <c:dPt>
            <c:idx val="2"/>
            <c:bubble3D val="0"/>
            <c:spPr>
              <a:solidFill>
                <a:srgbClr val="FFC000"/>
              </a:solidFill>
              <a:ln>
                <a:noFill/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c:spPr>
          </c:dPt>
          <c:dLbls>
            <c:dLbl>
              <c:idx val="1"/>
              <c:layout>
                <c:manualLayout>
                  <c:x val="-7.0329943132108483E-2"/>
                  <c:y val="1.7959682123067949E-2"/>
                </c:manualLayout>
              </c:layout>
              <c:dLblPos val="bestFi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2"/>
              <c:layout>
                <c:manualLayout>
                  <c:x val="5.7275371828521437E-2"/>
                  <c:y val="8.9647127442403027E-3"/>
                </c:manualLayout>
              </c:layout>
              <c:dLblPos val="bestFi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bestFit"/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>
                  <a:solidFill>
                    <a:schemeClr val="tx2">
                      <a:lumMod val="35000"/>
                      <a:lumOff val="65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'4-Metrics'!$B$5:$B$7</c:f>
              <c:strCache>
                <c:ptCount val="3"/>
                <c:pt idx="0">
                  <c:v>Total Test Cases Passed</c:v>
                </c:pt>
                <c:pt idx="1">
                  <c:v>Total Test Cases Failed</c:v>
                </c:pt>
                <c:pt idx="2">
                  <c:v>Total Test Cases Blocked</c:v>
                </c:pt>
              </c:strCache>
            </c:strRef>
          </c:cat>
          <c:val>
            <c:numRef>
              <c:f>'4-Metrics'!$D$5:$D$7</c:f>
              <c:numCache>
                <c:formatCode>0%</c:formatCode>
                <c:ptCount val="3"/>
                <c:pt idx="0">
                  <c:v>0.2</c:v>
                </c:pt>
                <c:pt idx="1">
                  <c:v>0.2</c:v>
                </c:pt>
                <c:pt idx="2">
                  <c:v>0.2</c:v>
                </c:pt>
              </c:numCache>
            </c:numRef>
          </c:val>
        </c:ser>
        <c:dLbls>
          <c:dLblPos val="bestFit"/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ctr" rtl="0">
              <a:defRPr lang="en-US" sz="1400" b="0" i="0" u="none" strike="noStrike" kern="1200" spc="0" baseline="0">
                <a:solidFill>
                  <a:sysClr val="windowText" lastClr="000000">
                    <a:lumMod val="65000"/>
                    <a:lumOff val="35000"/>
                  </a:sysClr>
                </a:solidFill>
                <a:latin typeface="+mn-lt"/>
                <a:ea typeface="+mn-ea"/>
                <a:cs typeface="+mn-cs"/>
              </a:defRPr>
            </a:pPr>
            <a:r>
              <a:rPr lang="en-US" sz="1400" b="0" i="0" u="none" strike="noStrike" kern="1200" spc="0" baseline="0">
                <a:solidFill>
                  <a:sysClr val="windowText" lastClr="000000">
                    <a:lumMod val="65000"/>
                    <a:lumOff val="35000"/>
                  </a:sysClr>
                </a:solidFill>
                <a:latin typeface="+mn-lt"/>
                <a:ea typeface="+mn-ea"/>
                <a:cs typeface="+mn-cs"/>
              </a:rPr>
              <a:t>Test Completion Percentage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 rtl="0">
            <a:defRPr lang="en-US" sz="1400" b="0" i="0" u="none" strike="noStrike" kern="1200" spc="0" baseline="0">
              <a:solidFill>
                <a:sysClr val="windowText" lastClr="000000">
                  <a:lumMod val="65000"/>
                  <a:lumOff val="35000"/>
                </a:sys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rgbClr val="92D050"/>
              </a:solidFill>
              <a:ln>
                <a:noFill/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c:spPr>
          </c:dPt>
          <c:dPt>
            <c:idx val="1"/>
            <c:bubble3D val="0"/>
            <c:spPr>
              <a:solidFill>
                <a:srgbClr val="FFC000"/>
              </a:solidFill>
              <a:ln>
                <a:noFill/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bestFit"/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>
                  <a:solidFill>
                    <a:schemeClr val="tx2">
                      <a:lumMod val="35000"/>
                      <a:lumOff val="65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'4-Metrics'!$B$14:$B$15</c:f>
              <c:strCache>
                <c:ptCount val="2"/>
                <c:pt idx="0">
                  <c:v>Total Test Cases Executed</c:v>
                </c:pt>
                <c:pt idx="1">
                  <c:v>Total Test Cases Not Executed</c:v>
                </c:pt>
              </c:strCache>
            </c:strRef>
          </c:cat>
          <c:val>
            <c:numRef>
              <c:f>'4-Metrics'!$D$14:$D$15</c:f>
              <c:numCache>
                <c:formatCode>0%</c:formatCode>
                <c:ptCount val="2"/>
                <c:pt idx="0">
                  <c:v>0.4</c:v>
                </c:pt>
                <c:pt idx="1">
                  <c:v>0.6</c:v>
                </c:pt>
              </c:numCache>
            </c:numRef>
          </c:val>
        </c:ser>
        <c:dLbls>
          <c:dLblPos val="bestFit"/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Defect Status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rgbClr val="FFC000"/>
              </a:solidFill>
              <a:ln>
                <a:noFill/>
              </a:ln>
              <a:effectLst/>
            </c:spPr>
          </c:dPt>
          <c:dPt>
            <c:idx val="1"/>
            <c:invertIfNegative val="0"/>
            <c:bubble3D val="0"/>
            <c:spPr>
              <a:solidFill>
                <a:srgbClr val="92D050"/>
              </a:solidFill>
              <a:ln>
                <a:noFill/>
              </a:ln>
              <a:effectLst/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'4-Metrics'!$B$19:$B$20</c:f>
              <c:strCache>
                <c:ptCount val="2"/>
                <c:pt idx="0">
                  <c:v>Total Open Defects</c:v>
                </c:pt>
                <c:pt idx="1">
                  <c:v>Total Closed Defects</c:v>
                </c:pt>
              </c:strCache>
            </c:strRef>
          </c:cat>
          <c:val>
            <c:numRef>
              <c:f>'4-Metrics'!$C$19:$C$20</c:f>
              <c:numCache>
                <c:formatCode>General</c:formatCode>
                <c:ptCount val="2"/>
                <c:pt idx="0">
                  <c:v>2</c:v>
                </c:pt>
                <c:pt idx="1">
                  <c:v>3</c:v>
                </c:pt>
              </c:numCache>
            </c:numRef>
          </c:val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237744552"/>
        <c:axId val="237745728"/>
      </c:barChart>
      <c:catAx>
        <c:axId val="23774455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37745728"/>
        <c:crosses val="autoZero"/>
        <c:auto val="1"/>
        <c:lblAlgn val="ctr"/>
        <c:lblOffset val="100"/>
        <c:noMultiLvlLbl val="0"/>
      </c:catAx>
      <c:valAx>
        <c:axId val="2377457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377445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Defect Status Percentage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0"/>
          <c:order val="0"/>
          <c:spPr>
            <a:ln>
              <a:noFill/>
            </a:ln>
          </c:spPr>
          <c:dPt>
            <c:idx val="0"/>
            <c:bubble3D val="0"/>
            <c:spPr>
              <a:solidFill>
                <a:srgbClr val="FFC000"/>
              </a:solidFill>
              <a:ln w="19050">
                <a:noFill/>
              </a:ln>
              <a:effectLst/>
            </c:spPr>
          </c:dPt>
          <c:dPt>
            <c:idx val="1"/>
            <c:bubble3D val="0"/>
            <c:spPr>
              <a:solidFill>
                <a:srgbClr val="92D050"/>
              </a:solidFill>
              <a:ln w="19050">
                <a:noFill/>
              </a:ln>
              <a:effectLst/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bestFit"/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'4-Metrics'!$B$19:$B$20</c:f>
              <c:strCache>
                <c:ptCount val="2"/>
                <c:pt idx="0">
                  <c:v>Total Open Defects</c:v>
                </c:pt>
                <c:pt idx="1">
                  <c:v>Total Closed Defects</c:v>
                </c:pt>
              </c:strCache>
            </c:strRef>
          </c:cat>
          <c:val>
            <c:numRef>
              <c:f>'4-Metrics'!$D$19:$D$20</c:f>
              <c:numCache>
                <c:formatCode>0%</c:formatCode>
                <c:ptCount val="2"/>
                <c:pt idx="0">
                  <c:v>0.4</c:v>
                </c:pt>
                <c:pt idx="1">
                  <c:v>0.6</c:v>
                </c:pt>
              </c:numCache>
            </c:numRef>
          </c:val>
        </c:ser>
        <c:dLbls>
          <c:dLblPos val="bestFit"/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Plan Vs Actual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'5-Plan vs Actual'!$A$33</c:f>
              <c:strCache>
                <c:ptCount val="1"/>
              </c:strCache>
            </c:strRef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  <c:marker>
            <c:symbol val="none"/>
          </c:marker>
          <c:cat>
            <c:numRef>
              <c:f>'5-Plan vs Actual'!$B$32:$XFD$32</c:f>
              <c:numCache>
                <c:formatCode>General</c:formatCode>
                <c:ptCount val="16383"/>
              </c:numCache>
            </c:numRef>
          </c:cat>
          <c:val>
            <c:numRef>
              <c:f>'5-Plan vs Actual'!$B$33:$XFD$33</c:f>
              <c:numCache>
                <c:formatCode>General</c:formatCode>
                <c:ptCount val="16383"/>
              </c:numCache>
            </c:numRef>
          </c:val>
          <c:smooth val="0"/>
        </c:ser>
        <c:ser>
          <c:idx val="1"/>
          <c:order val="1"/>
          <c:tx>
            <c:strRef>
              <c:f>'5-Plan vs Actual'!$A$34</c:f>
              <c:strCache>
                <c:ptCount val="1"/>
              </c:strCache>
            </c:strRef>
          </c:tx>
          <c:spPr>
            <a:ln w="34925" cap="rnd">
              <a:solidFill>
                <a:schemeClr val="accent2"/>
              </a:solidFill>
              <a:round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  <c:marker>
            <c:symbol val="none"/>
          </c:marker>
          <c:cat>
            <c:numRef>
              <c:f>'5-Plan vs Actual'!$B$32:$XFD$32</c:f>
              <c:numCache>
                <c:formatCode>General</c:formatCode>
                <c:ptCount val="16383"/>
              </c:numCache>
            </c:numRef>
          </c:cat>
          <c:val>
            <c:numRef>
              <c:f>'5-Plan vs Actual'!$B$34:$XFD$34</c:f>
              <c:numCache>
                <c:formatCode>General</c:formatCode>
                <c:ptCount val="16383"/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37746904"/>
        <c:axId val="237747688"/>
      </c:lineChart>
      <c:catAx>
        <c:axId val="23774690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12700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37747688"/>
        <c:crosses val="autoZero"/>
        <c:auto val="1"/>
        <c:lblAlgn val="ctr"/>
        <c:lblOffset val="100"/>
        <c:tickLblSkip val="2"/>
        <c:noMultiLvlLbl val="1"/>
      </c:catAx>
      <c:valAx>
        <c:axId val="2377476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3774690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55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31750" cap="rnd">
        <a:solidFill>
          <a:schemeClr val="phClr"/>
        </a:solidFill>
        <a:round/>
      </a:ln>
    </cs:spPr>
  </cs:dataPointLine>
  <cs:dataPointMarker>
    <cs:lnRef idx="0"/>
    <cs:fillRef idx="3">
      <cs:styleClr val="auto"/>
    </cs:fillRef>
    <cs:effectRef idx="2"/>
    <cs:fontRef idx="minor">
      <a:schemeClr val="tx2"/>
    </cs:fontRef>
    <cs:spPr>
      <a:ln w="12700">
        <a:solidFill>
          <a:schemeClr val="lt2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55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31750" cap="rnd">
        <a:solidFill>
          <a:schemeClr val="phClr"/>
        </a:solidFill>
        <a:round/>
      </a:ln>
    </cs:spPr>
  </cs:dataPointLine>
  <cs:dataPointMarker>
    <cs:lnRef idx="0"/>
    <cs:fillRef idx="3">
      <cs:styleClr val="auto"/>
    </cs:fillRef>
    <cs:effectRef idx="2"/>
    <cs:fontRef idx="minor">
      <a:schemeClr val="tx2"/>
    </cs:fontRef>
    <cs:spPr>
      <a:ln w="12700">
        <a:solidFill>
          <a:schemeClr val="lt2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34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7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647700</xdr:colOff>
      <xdr:row>2</xdr:row>
      <xdr:rowOff>9525</xdr:rowOff>
    </xdr:from>
    <xdr:to>
      <xdr:col>3</xdr:col>
      <xdr:colOff>647700</xdr:colOff>
      <xdr:row>5</xdr:row>
      <xdr:rowOff>133350</xdr:rowOff>
    </xdr:to>
    <xdr:pic>
      <xdr:nvPicPr>
        <xdr:cNvPr id="2" name="Picture 3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800475" y="2486025"/>
          <a:ext cx="0" cy="6953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295275</xdr:colOff>
          <xdr:row>9</xdr:row>
          <xdr:rowOff>171450</xdr:rowOff>
        </xdr:from>
        <xdr:to>
          <xdr:col>1</xdr:col>
          <xdr:colOff>1085850</xdr:colOff>
          <xdr:row>11</xdr:row>
          <xdr:rowOff>0</xdr:rowOff>
        </xdr:to>
        <xdr:sp macro="" textlink="">
          <xdr:nvSpPr>
            <xdr:cNvPr id="6148" name="Button 4" hidden="1">
              <a:extLst>
                <a:ext uri="{63B3BB69-23CF-44E3-9099-C40C66FF867C}">
                  <a14:compatExt spid="_x0000_s614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Reset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28575</xdr:colOff>
          <xdr:row>8</xdr:row>
          <xdr:rowOff>180975</xdr:rowOff>
        </xdr:from>
        <xdr:to>
          <xdr:col>0</xdr:col>
          <xdr:colOff>2295525</xdr:colOff>
          <xdr:row>10</xdr:row>
          <xdr:rowOff>19050</xdr:rowOff>
        </xdr:to>
        <xdr:sp macro="" textlink="">
          <xdr:nvSpPr>
            <xdr:cNvPr id="6149" name="Button 5" hidden="1">
              <a:extLst>
                <a:ext uri="{63B3BB69-23CF-44E3-9099-C40C66FF867C}">
                  <a14:compatExt spid="_x0000_s61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libri"/>
                </a:rPr>
                <a:t>Test LAB Folder Id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1343025</xdr:colOff>
          <xdr:row>9</xdr:row>
          <xdr:rowOff>161925</xdr:rowOff>
        </xdr:from>
        <xdr:to>
          <xdr:col>2</xdr:col>
          <xdr:colOff>571500</xdr:colOff>
          <xdr:row>11</xdr:row>
          <xdr:rowOff>0</xdr:rowOff>
        </xdr:to>
        <xdr:sp macro="" textlink="">
          <xdr:nvSpPr>
            <xdr:cNvPr id="6150" name="Button 6" hidden="1">
              <a:extLst>
                <a:ext uri="{63B3BB69-23CF-44E3-9099-C40C66FF867C}">
                  <a14:compatExt spid="_x0000_s61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Reset Folder List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38100</xdr:colOff>
          <xdr:row>10</xdr:row>
          <xdr:rowOff>171450</xdr:rowOff>
        </xdr:from>
        <xdr:to>
          <xdr:col>0</xdr:col>
          <xdr:colOff>2295525</xdr:colOff>
          <xdr:row>12</xdr:row>
          <xdr:rowOff>9525</xdr:rowOff>
        </xdr:to>
        <xdr:sp macro="" textlink="">
          <xdr:nvSpPr>
            <xdr:cNvPr id="6153" name="Button 9" hidden="1">
              <a:extLst>
                <a:ext uri="{63B3BB69-23CF-44E3-9099-C40C66FF867C}">
                  <a14:compatExt spid="_x0000_s61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libri"/>
                </a:rPr>
                <a:t>Test PLAN Folder Id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38100</xdr:colOff>
          <xdr:row>1</xdr:row>
          <xdr:rowOff>9525</xdr:rowOff>
        </xdr:from>
        <xdr:to>
          <xdr:col>0</xdr:col>
          <xdr:colOff>1581150</xdr:colOff>
          <xdr:row>2</xdr:row>
          <xdr:rowOff>85725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libri"/>
                </a:rPr>
                <a:t>Generate TCER Report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</xdr:colOff>
          <xdr:row>1</xdr:row>
          <xdr:rowOff>19050</xdr:rowOff>
        </xdr:from>
        <xdr:to>
          <xdr:col>2</xdr:col>
          <xdr:colOff>0</xdr:colOff>
          <xdr:row>2</xdr:row>
          <xdr:rowOff>85725</xdr:rowOff>
        </xdr:to>
        <xdr:sp macro="" textlink="">
          <xdr:nvSpPr>
            <xdr:cNvPr id="12289" name="Button 1" hidden="1">
              <a:extLst>
                <a:ext uri="{63B3BB69-23CF-44E3-9099-C40C66FF867C}">
                  <a14:compatExt spid="_x0000_s122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libri"/>
                </a:rPr>
                <a:t>Generate Defects Report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9524</xdr:colOff>
      <xdr:row>25</xdr:row>
      <xdr:rowOff>4762</xdr:rowOff>
    </xdr:from>
    <xdr:to>
      <xdr:col>4</xdr:col>
      <xdr:colOff>9524</xdr:colOff>
      <xdr:row>36</xdr:row>
      <xdr:rowOff>9525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28575</xdr:colOff>
      <xdr:row>49</xdr:row>
      <xdr:rowOff>71437</xdr:rowOff>
    </xdr:from>
    <xdr:to>
      <xdr:col>4</xdr:col>
      <xdr:colOff>9525</xdr:colOff>
      <xdr:row>60</xdr:row>
      <xdr:rowOff>57150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19050</xdr:colOff>
      <xdr:row>37</xdr:row>
      <xdr:rowOff>0</xdr:rowOff>
    </xdr:from>
    <xdr:to>
      <xdr:col>3</xdr:col>
      <xdr:colOff>600075</xdr:colOff>
      <xdr:row>48</xdr:row>
      <xdr:rowOff>38100</xdr:rowOff>
    </xdr:to>
    <xdr:graphicFrame macro="">
      <xdr:nvGraphicFramePr>
        <xdr:cNvPr id="5" name="Chart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28575</xdr:colOff>
      <xdr:row>61</xdr:row>
      <xdr:rowOff>42862</xdr:rowOff>
    </xdr:from>
    <xdr:to>
      <xdr:col>4</xdr:col>
      <xdr:colOff>28575</xdr:colOff>
      <xdr:row>72</xdr:row>
      <xdr:rowOff>28575</xdr:rowOff>
    </xdr:to>
    <xdr:graphicFrame macro="">
      <xdr:nvGraphicFramePr>
        <xdr:cNvPr id="6" name="Chart 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561975</xdr:colOff>
          <xdr:row>0</xdr:row>
          <xdr:rowOff>28575</xdr:rowOff>
        </xdr:from>
        <xdr:to>
          <xdr:col>6</xdr:col>
          <xdr:colOff>28575</xdr:colOff>
          <xdr:row>0</xdr:row>
          <xdr:rowOff>219075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1" u="none" strike="noStrike" baseline="0">
                  <a:solidFill>
                    <a:srgbClr val="000000"/>
                  </a:solidFill>
                  <a:latin typeface="Calibri"/>
                </a:rPr>
                <a:t>Test Sets Report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9525</xdr:colOff>
      <xdr:row>73</xdr:row>
      <xdr:rowOff>42862</xdr:rowOff>
    </xdr:from>
    <xdr:to>
      <xdr:col>4</xdr:col>
      <xdr:colOff>9525</xdr:colOff>
      <xdr:row>84</xdr:row>
      <xdr:rowOff>76200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0</xdr:col>
      <xdr:colOff>9525</xdr:colOff>
      <xdr:row>85</xdr:row>
      <xdr:rowOff>71437</xdr:rowOff>
    </xdr:from>
    <xdr:to>
      <xdr:col>4</xdr:col>
      <xdr:colOff>38100</xdr:colOff>
      <xdr:row>96</xdr:row>
      <xdr:rowOff>66675</xdr:rowOff>
    </xdr:to>
    <xdr:graphicFrame macro="">
      <xdr:nvGraphicFramePr>
        <xdr:cNvPr id="8" name="Chart 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514350</xdr:colOff>
          <xdr:row>0</xdr:row>
          <xdr:rowOff>28575</xdr:rowOff>
        </xdr:from>
        <xdr:to>
          <xdr:col>17</xdr:col>
          <xdr:colOff>228600</xdr:colOff>
          <xdr:row>0</xdr:row>
          <xdr:rowOff>228600</xdr:rowOff>
        </xdr:to>
        <xdr:sp macro="" textlink="">
          <xdr:nvSpPr>
            <xdr:cNvPr id="9219" name="Button 3" hidden="1">
              <a:extLst>
                <a:ext uri="{63B3BB69-23CF-44E3-9099-C40C66FF867C}">
                  <a14:compatExt spid="_x0000_s92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1" u="none" strike="noStrike" baseline="0">
                  <a:solidFill>
                    <a:srgbClr val="000000"/>
                  </a:solidFill>
                  <a:latin typeface="Calibri"/>
                </a:rPr>
                <a:t>Defect sub report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</xdr:colOff>
          <xdr:row>14</xdr:row>
          <xdr:rowOff>180975</xdr:rowOff>
        </xdr:from>
        <xdr:to>
          <xdr:col>0</xdr:col>
          <xdr:colOff>1323975</xdr:colOff>
          <xdr:row>16</xdr:row>
          <xdr:rowOff>28575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1" u="none" strike="noStrike" baseline="0">
                  <a:solidFill>
                    <a:srgbClr val="000000"/>
                  </a:solidFill>
                  <a:latin typeface="Book Antiqua"/>
                </a:rPr>
                <a:t>Show Actual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28575</xdr:colOff>
          <xdr:row>24</xdr:row>
          <xdr:rowOff>0</xdr:rowOff>
        </xdr:from>
        <xdr:to>
          <xdr:col>0</xdr:col>
          <xdr:colOff>1457325</xdr:colOff>
          <xdr:row>25</xdr:row>
          <xdr:rowOff>38100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1" u="none" strike="noStrike" baseline="0">
                  <a:solidFill>
                    <a:srgbClr val="000000"/>
                  </a:solidFill>
                  <a:latin typeface="Book Antiqua"/>
                </a:rPr>
                <a:t>Show Plan vs Actual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</xdr:colOff>
          <xdr:row>7</xdr:row>
          <xdr:rowOff>180975</xdr:rowOff>
        </xdr:from>
        <xdr:to>
          <xdr:col>0</xdr:col>
          <xdr:colOff>1371600</xdr:colOff>
          <xdr:row>9</xdr:row>
          <xdr:rowOff>28575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1" u="none" strike="noStrike" baseline="0">
                  <a:solidFill>
                    <a:srgbClr val="000000"/>
                  </a:solidFill>
                  <a:latin typeface="Book Antiqua"/>
                </a:rPr>
                <a:t>Create Plan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1266825</xdr:colOff>
      <xdr:row>35</xdr:row>
      <xdr:rowOff>176212</xdr:rowOff>
    </xdr:from>
    <xdr:to>
      <xdr:col>11</xdr:col>
      <xdr:colOff>142875</xdr:colOff>
      <xdr:row>50</xdr:row>
      <xdr:rowOff>61912</xdr:rowOff>
    </xdr:to>
    <xdr:graphicFrame macro="">
      <xdr:nvGraphicFramePr>
        <xdr:cNvPr id="8" name="Chart 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</xdr:row>
          <xdr:rowOff>0</xdr:rowOff>
        </xdr:from>
        <xdr:to>
          <xdr:col>5</xdr:col>
          <xdr:colOff>9525</xdr:colOff>
          <xdr:row>2</xdr:row>
          <xdr:rowOff>28575</xdr:rowOff>
        </xdr:to>
        <xdr:sp macro="" textlink="">
          <xdr:nvSpPr>
            <xdr:cNvPr id="2053" name="Button 5" hidden="1">
              <a:extLst>
                <a:ext uri="{63B3BB69-23CF-44E3-9099-C40C66FF867C}">
                  <a14:compatExt spid="_x0000_s20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Reset All</a:t>
              </a:r>
            </a:p>
          </xdr:txBody>
        </xdr:sp>
        <xdr:clientData fPrintsWithSheet="0"/>
      </xdr:twoCellAnchor>
    </mc:Choice>
    <mc:Fallback/>
  </mc:AlternateContent>
</xdr:wsDr>
</file>

<file path=xl/pivotCache/pivotCacheDefinition1.xml><?xml version="1.0" encoding="utf-8"?>
<pivotCacheDefinition xmlns="http://schemas.openxmlformats.org/spreadsheetml/2006/main" xmlns:r="http://schemas.openxmlformats.org/officeDocument/2006/relationships" saveData="0" refreshOnLoad="1" refreshedBy="Acharya" refreshedDate="42637.813374305559" missingItemsLimit="0" createdVersion="5" refreshedVersion="5" minRefreshableVersion="3" recordCount="843">
  <cacheSource type="worksheet">
    <worksheetSource ref="B1:F1048576" sheet="TCER Data"/>
  </cacheSource>
  <cacheFields count="5">
    <cacheField name="TEST_SET" numFmtId="0">
      <sharedItems containsBlank="1"/>
    </cacheField>
    <cacheField name="TEST_STATUS" numFmtId="0">
      <sharedItems containsBlank="1"/>
    </cacheField>
    <cacheField name="TESTER" numFmtId="0">
      <sharedItems containsBlank="1" count="5">
        <s v="Tester1"/>
        <s v="Tester2"/>
        <s v="Tester3"/>
        <s v="Tester4"/>
        <m/>
      </sharedItems>
    </cacheField>
    <cacheField name="PLAN_EXECUTION_DATE" numFmtId="0">
      <sharedItems containsNonDate="0" containsString="0" containsBlank="1"/>
    </cacheField>
    <cacheField name="ACTUAL_EXECUTION_DATE" numFmtId="0">
      <sharedItems containsNonDate="0" containsDate="1" containsString="0" containsBlank="1" minDate="2016-09-20T00:00:00" maxDate="2016-09-24T00:00:00" count="5">
        <d v="2016-09-20T00:00:00"/>
        <d v="2016-09-21T00:00:00"/>
        <d v="2016-09-22T00:00:00"/>
        <d v="2016-09-23T00:00:00"/>
        <m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saveData="0" refreshOnLoad="1" refreshedBy="Acharya" refreshedDate="42637.813374768521" missingItemsLimit="0" createdVersion="5" refreshedVersion="5" minRefreshableVersion="3" recordCount="248">
  <cacheSource type="worksheet">
    <worksheetSource ref="A1:P1048576" sheet="Defects List"/>
  </cacheSource>
  <cacheFields count="16">
    <cacheField name="TEST_PHASE" numFmtId="0">
      <sharedItems containsBlank="1" count="2">
        <s v="4. UAT"/>
        <m/>
      </sharedItems>
    </cacheField>
    <cacheField name="DEFECT_ID" numFmtId="0">
      <sharedItems containsString="0" containsBlank="1" containsNumber="1" containsInteger="1" minValue="2" maxValue="6"/>
    </cacheField>
    <cacheField name="SUMMARY" numFmtId="0">
      <sharedItems containsBlank="1"/>
    </cacheField>
    <cacheField name="COMPONENT" numFmtId="0">
      <sharedItems containsBlank="1"/>
    </cacheField>
    <cacheField name="SEVERITY" numFmtId="0">
      <sharedItems containsBlank="1" count="5">
        <s v="1 - Critical"/>
        <s v="3 - Medium"/>
        <s v="2 - High"/>
        <s v="3 - Low"/>
        <m/>
      </sharedItems>
    </cacheField>
    <cacheField name="PRIORITY" numFmtId="0">
      <sharedItems containsBlank="1"/>
    </cacheField>
    <cacheField name="STATUS" numFmtId="0">
      <sharedItems containsBlank="1" count="3">
        <s v="Closed"/>
        <s v="Open"/>
        <m/>
      </sharedItems>
    </cacheField>
    <cacheField name="ASSIGNED_TO" numFmtId="0">
      <sharedItems containsBlank="1"/>
    </cacheField>
    <cacheField name="DETECTED_BY" numFmtId="0">
      <sharedItems containsBlank="1"/>
    </cacheField>
    <cacheField name="DETECTION_DATE" numFmtId="0">
      <sharedItems containsNonDate="0" containsDate="1" containsString="0" containsBlank="1" minDate="2016-08-30T00:00:00" maxDate="2016-09-10T00:00:00"/>
    </cacheField>
    <cacheField name="CLOSING_DATE" numFmtId="0">
      <sharedItems containsNonDate="0" containsDate="1" containsString="0" containsBlank="1" minDate="2016-08-31T00:00:00" maxDate="2016-09-21T00:00:00"/>
    </cacheField>
    <cacheField name="ROOT_CAUSE" numFmtId="0">
      <sharedItems containsBlank="1"/>
    </cacheField>
    <cacheField name="ROOT_CAUSE_DETAILS" numFmtId="0">
      <sharedItems containsBlank="1"/>
    </cacheField>
    <cacheField name="RESOLUTION" numFmtId="0">
      <sharedItems containsBlank="1" count="4">
        <s v="Verified"/>
        <s v="Assigned"/>
        <s v="Ready to Test"/>
        <m/>
      </sharedItems>
    </cacheField>
    <cacheField name="ATTACHMENT" numFmtId="0">
      <sharedItems containsBlank="1"/>
    </cacheField>
    <cacheField name="SUBJECT" numFmtId="0">
      <sharedItems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saveData="0" refreshOnLoad="1" refreshedBy="Acharya" refreshedDate="42637.813374884259" missingItemsLimit="0" createdVersion="5" refreshedVersion="5" minRefreshableVersion="3" recordCount="843">
  <cacheSource type="worksheet">
    <worksheetSource ref="A1:G1048576" sheet="TCER Data"/>
  </cacheSource>
  <cacheFields count="7">
    <cacheField name="TEST_FOLDER" numFmtId="0">
      <sharedItems containsBlank="1" count="5">
        <s v="Fold1"/>
        <s v="Fold2"/>
        <s v="Fold3"/>
        <s v="Fold4"/>
        <m/>
      </sharedItems>
    </cacheField>
    <cacheField name="TEST_SET" numFmtId="0">
      <sharedItems containsBlank="1" count="7">
        <s v="Set1"/>
        <s v="Set2"/>
        <s v="Set3"/>
        <s v="Set4"/>
        <s v="Set5"/>
        <s v="Set6"/>
        <m/>
      </sharedItems>
    </cacheField>
    <cacheField name="TEST_STATUS" numFmtId="0">
      <sharedItems containsBlank="1" count="9">
        <s v="Not Completed"/>
        <s v="Passed"/>
        <s v="Failed"/>
        <s v="Blocked"/>
        <s v="No Run"/>
        <s v="N/A"/>
        <s v="Functionality Not delivered"/>
        <s v="Retest"/>
        <m/>
      </sharedItems>
    </cacheField>
    <cacheField name="TESTER" numFmtId="0">
      <sharedItems containsBlank="1"/>
    </cacheField>
    <cacheField name="PLAN_EXECUTION_DATE" numFmtId="0">
      <sharedItems containsNonDate="0" containsString="0" containsBlank="1"/>
    </cacheField>
    <cacheField name="ACTUAL_EXECUTION_DATE" numFmtId="0">
      <sharedItems containsNonDate="0" containsDate="1" containsString="0" containsBlank="1" minDate="2016-09-20T00:00:00" maxDate="2016-09-24T00:00:00"/>
    </cacheField>
    <cacheField name="TEST_PRIORITY" numFmtId="0">
      <sharedItems containsBlank="1" count="3">
        <s v="High"/>
        <s v="Medium"/>
        <m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PivotTable3" cacheId="72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 rowHeaderCaption="Test Folder/ Test Set" colHeaderCaption="Test Status">
  <location ref="A6:J18" firstHeaderRow="1" firstDataRow="2" firstDataCol="1" rowPageCount="1" colPageCount="1"/>
  <pivotFields count="7">
    <pivotField axis="axisRow" showAll="0">
      <items count="6">
        <item x="4"/>
        <item x="0"/>
        <item x="1"/>
        <item x="2"/>
        <item x="3"/>
        <item t="default"/>
      </items>
    </pivotField>
    <pivotField axis="axisRow" showAll="0" defaultSubtotal="0">
      <items count="7">
        <item x="6"/>
        <item x="0"/>
        <item x="1"/>
        <item x="2"/>
        <item x="3"/>
        <item x="4"/>
        <item x="5"/>
      </items>
    </pivotField>
    <pivotField axis="axisCol" dataField="1" showAll="0">
      <items count="10">
        <item h="1" x="8"/>
        <item x="1"/>
        <item x="2"/>
        <item x="3"/>
        <item x="0"/>
        <item x="4"/>
        <item x="5"/>
        <item x="6"/>
        <item x="7"/>
        <item t="default"/>
      </items>
    </pivotField>
    <pivotField showAll="0"/>
    <pivotField showAll="0"/>
    <pivotField showAll="0"/>
    <pivotField axis="axisPage" showAll="0">
      <items count="4">
        <item x="2"/>
        <item x="0"/>
        <item x="1"/>
        <item t="default"/>
      </items>
    </pivotField>
  </pivotFields>
  <rowFields count="2">
    <field x="0"/>
    <field x="1"/>
  </rowFields>
  <rowItems count="11">
    <i>
      <x v="1"/>
    </i>
    <i r="1">
      <x v="1"/>
    </i>
    <i r="1">
      <x v="2"/>
    </i>
    <i>
      <x v="2"/>
    </i>
    <i r="1">
      <x v="3"/>
    </i>
    <i>
      <x v="3"/>
    </i>
    <i r="1">
      <x v="4"/>
    </i>
    <i>
      <x v="4"/>
    </i>
    <i r="1">
      <x v="5"/>
    </i>
    <i r="1">
      <x v="6"/>
    </i>
    <i t="grand">
      <x/>
    </i>
  </rowItems>
  <colFields count="1">
    <field x="2"/>
  </colFields>
  <colItems count="9"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 t="grand">
      <x/>
    </i>
  </colItems>
  <pageFields count="1">
    <pageField fld="6" hier="-1"/>
  </pageFields>
  <dataFields count="1">
    <dataField name="Count of TEST_STATUS" fld="2" subtotal="count" baseField="0" baseItem="0"/>
  </dataFields>
  <pivotTableStyleInfo name="PivotStyleMedium9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2.xml><?xml version="1.0" encoding="utf-8"?>
<pivotTableDefinition xmlns="http://schemas.openxmlformats.org/spreadsheetml/2006/main" name="PivotTable2" cacheId="73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 rowHeaderCaption="Severity" colHeaderCaption="Status">
  <location ref="A6:G13" firstHeaderRow="1" firstDataRow="3" firstDataCol="1" rowPageCount="1" colPageCount="1"/>
  <pivotFields count="16">
    <pivotField axis="axisPage" multipleItemSelectionAllowed="1" showAll="0">
      <items count="3">
        <item x="1"/>
        <item x="0"/>
        <item t="default"/>
      </items>
    </pivotField>
    <pivotField dataField="1" showAll="0"/>
    <pivotField showAll="0"/>
    <pivotField showAll="0"/>
    <pivotField axis="axisRow" showAll="0" sortType="ascending">
      <items count="6">
        <item x="0"/>
        <item x="2"/>
        <item x="3"/>
        <item x="1"/>
        <item x="4"/>
        <item t="default"/>
      </items>
    </pivotField>
    <pivotField showAll="0"/>
    <pivotField axis="axisCol" showAll="0">
      <items count="4">
        <item h="1" x="2"/>
        <item x="0"/>
        <item x="1"/>
        <item t="default"/>
      </items>
    </pivotField>
    <pivotField showAll="0"/>
    <pivotField showAll="0"/>
    <pivotField showAll="0"/>
    <pivotField showAll="0"/>
    <pivotField showAll="0"/>
    <pivotField showAll="0"/>
    <pivotField axis="axisCol" showAll="0">
      <items count="5">
        <item x="3"/>
        <item x="0"/>
        <item x="1"/>
        <item x="2"/>
        <item t="default"/>
      </items>
    </pivotField>
    <pivotField showAll="0" defaultSubtotal="0"/>
    <pivotField showAll="0"/>
  </pivotFields>
  <rowFields count="1">
    <field x="4"/>
  </rowFields>
  <rowItems count="5">
    <i>
      <x/>
    </i>
    <i>
      <x v="1"/>
    </i>
    <i>
      <x v="2"/>
    </i>
    <i>
      <x v="3"/>
    </i>
    <i t="grand">
      <x/>
    </i>
  </rowItems>
  <colFields count="2">
    <field x="6"/>
    <field x="13"/>
  </colFields>
  <colItems count="6">
    <i>
      <x v="1"/>
      <x v="1"/>
    </i>
    <i t="default">
      <x v="1"/>
    </i>
    <i>
      <x v="2"/>
      <x v="2"/>
    </i>
    <i r="1">
      <x v="3"/>
    </i>
    <i t="default">
      <x v="2"/>
    </i>
    <i t="grand">
      <x/>
    </i>
  </colItems>
  <pageFields count="1">
    <pageField fld="0" hier="-1"/>
  </pageFields>
  <dataFields count="1">
    <dataField name="Count of Defects" fld="1" subtotal="count" baseField="0" baseItem="0"/>
  </dataFields>
  <pivotTableStyleInfo name="PivotStyleMedium9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3.xml><?xml version="1.0" encoding="utf-8"?>
<pivotTableDefinition xmlns="http://schemas.openxmlformats.org/spreadsheetml/2006/main" name="PivotTable6" cacheId="60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>
  <location ref="A4:F10" firstHeaderRow="1" firstDataRow="2" firstDataCol="1"/>
  <pivotFields count="5">
    <pivotField showAll="0" defaultSubtotal="0"/>
    <pivotField dataField="1" showAll="0"/>
    <pivotField axis="axisRow" showAll="0">
      <items count="6">
        <item x="4"/>
        <item x="0"/>
        <item x="1"/>
        <item x="2"/>
        <item x="3"/>
        <item t="default"/>
      </items>
    </pivotField>
    <pivotField showAll="0"/>
    <pivotField axis="axisCol" showAll="0" sortType="ascending">
      <items count="6">
        <item x="0"/>
        <item x="1"/>
        <item x="2"/>
        <item x="3"/>
        <item h="1" x="4"/>
        <item t="default"/>
      </items>
    </pivotField>
  </pivotFields>
  <rowFields count="1">
    <field x="2"/>
  </rowFields>
  <rowItems count="5">
    <i>
      <x v="1"/>
    </i>
    <i>
      <x v="2"/>
    </i>
    <i>
      <x v="3"/>
    </i>
    <i>
      <x v="4"/>
    </i>
    <i t="grand">
      <x/>
    </i>
  </rowItems>
  <colFields count="1">
    <field x="4"/>
  </colFields>
  <colItems count="5">
    <i>
      <x/>
    </i>
    <i>
      <x v="1"/>
    </i>
    <i>
      <x v="2"/>
    </i>
    <i>
      <x v="3"/>
    </i>
    <i t="grand">
      <x/>
    </i>
  </colItems>
  <dataFields count="1">
    <dataField name="Count of Test_Status" fld="1" subtotal="count" baseField="0" baseItem="0"/>
  </dataFields>
  <pivotTableStyleInfo name="PivotStyleMedium9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2.bin"/><Relationship Id="rId1" Type="http://schemas.openxmlformats.org/officeDocument/2006/relationships/pivotTable" Target="../pivotTables/pivotTable1.xml"/><Relationship Id="rId5" Type="http://schemas.openxmlformats.org/officeDocument/2006/relationships/ctrlProp" Target="../ctrlProps/ctrlProp5.xml"/><Relationship Id="rId4" Type="http://schemas.openxmlformats.org/officeDocument/2006/relationships/vmlDrawing" Target="../drawings/vmlDrawing2.v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3.bin"/><Relationship Id="rId1" Type="http://schemas.openxmlformats.org/officeDocument/2006/relationships/pivotTable" Target="../pivotTables/pivotTable2.xml"/><Relationship Id="rId5" Type="http://schemas.openxmlformats.org/officeDocument/2006/relationships/ctrlProp" Target="../ctrlProps/ctrlProp6.xml"/><Relationship Id="rId4" Type="http://schemas.openxmlformats.org/officeDocument/2006/relationships/vmlDrawing" Target="../drawings/vmlDrawing3.v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4.bin"/><Relationship Id="rId6" Type="http://schemas.openxmlformats.org/officeDocument/2006/relationships/comments" Target="../comments1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7" Type="http://schemas.openxmlformats.org/officeDocument/2006/relationships/ctrlProp" Target="../ctrlProps/ctrlProp12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11.xml"/><Relationship Id="rId5" Type="http://schemas.openxmlformats.org/officeDocument/2006/relationships/ctrlProp" Target="../ctrlProps/ctrlProp10.xml"/><Relationship Id="rId4" Type="http://schemas.openxmlformats.org/officeDocument/2006/relationships/ctrlProp" Target="../ctrlProps/ctrlProp9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.bin"/><Relationship Id="rId1" Type="http://schemas.openxmlformats.org/officeDocument/2006/relationships/pivotTable" Target="../pivotTables/pivotTable3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B2:D15"/>
  <sheetViews>
    <sheetView workbookViewId="0">
      <selection activeCell="C21" sqref="C21"/>
    </sheetView>
  </sheetViews>
  <sheetFormatPr defaultRowHeight="15" x14ac:dyDescent="0.25"/>
  <cols>
    <col min="2" max="3" width="22.5703125" customWidth="1"/>
    <col min="4" max="4" width="27.140625" customWidth="1"/>
  </cols>
  <sheetData>
    <row r="2" spans="2:4" x14ac:dyDescent="0.25">
      <c r="B2" s="75" t="s">
        <v>58</v>
      </c>
      <c r="C2" s="75"/>
    </row>
    <row r="3" spans="2:4" x14ac:dyDescent="0.25">
      <c r="B3" s="45" t="s">
        <v>59</v>
      </c>
      <c r="C3" s="52" t="s">
        <v>60</v>
      </c>
    </row>
    <row r="4" spans="2:4" x14ac:dyDescent="0.25">
      <c r="B4" s="45" t="s">
        <v>61</v>
      </c>
      <c r="C4" s="46" t="s">
        <v>57</v>
      </c>
    </row>
    <row r="5" spans="2:4" x14ac:dyDescent="0.25">
      <c r="B5" s="48" t="s">
        <v>62</v>
      </c>
      <c r="C5" s="52" t="s">
        <v>67</v>
      </c>
    </row>
    <row r="6" spans="2:4" x14ac:dyDescent="0.25">
      <c r="B6" s="53" t="s">
        <v>66</v>
      </c>
      <c r="C6" s="48" t="s">
        <v>68</v>
      </c>
    </row>
    <row r="8" spans="2:4" x14ac:dyDescent="0.25">
      <c r="B8" s="75" t="s">
        <v>55</v>
      </c>
      <c r="C8" s="75"/>
      <c r="D8" s="75"/>
    </row>
    <row r="9" spans="2:4" x14ac:dyDescent="0.25">
      <c r="B9" s="49" t="s">
        <v>54</v>
      </c>
      <c r="C9" s="49" t="s">
        <v>40</v>
      </c>
      <c r="D9" s="49" t="s">
        <v>56</v>
      </c>
    </row>
    <row r="10" spans="2:4" x14ac:dyDescent="0.25">
      <c r="B10" s="50">
        <v>0.1</v>
      </c>
      <c r="C10" s="51">
        <v>42615</v>
      </c>
      <c r="D10" s="54" t="s">
        <v>69</v>
      </c>
    </row>
    <row r="11" spans="2:4" x14ac:dyDescent="0.25">
      <c r="B11" s="50">
        <v>0.2</v>
      </c>
      <c r="C11" s="51">
        <v>42637</v>
      </c>
      <c r="D11" s="55" t="s">
        <v>125</v>
      </c>
    </row>
    <row r="13" spans="2:4" x14ac:dyDescent="0.25">
      <c r="B13" s="75" t="s">
        <v>63</v>
      </c>
      <c r="C13" s="75"/>
    </row>
    <row r="14" spans="2:4" x14ac:dyDescent="0.25">
      <c r="B14" s="47" t="s">
        <v>64</v>
      </c>
      <c r="C14" s="52"/>
    </row>
    <row r="15" spans="2:4" x14ac:dyDescent="0.25">
      <c r="B15" s="45" t="s">
        <v>65</v>
      </c>
      <c r="C15" s="46"/>
    </row>
  </sheetData>
  <mergeCells count="3">
    <mergeCell ref="B8:D8"/>
    <mergeCell ref="B2:C2"/>
    <mergeCell ref="B13:C13"/>
  </mergeCells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/>
  <dimension ref="A1:D13"/>
  <sheetViews>
    <sheetView tabSelected="1" zoomScaleNormal="100" workbookViewId="0">
      <selection activeCell="B15" sqref="B15"/>
    </sheetView>
  </sheetViews>
  <sheetFormatPr defaultRowHeight="15" x14ac:dyDescent="0.25"/>
  <cols>
    <col min="1" max="1" width="34.5703125" customWidth="1"/>
    <col min="2" max="2" width="30.140625" customWidth="1"/>
    <col min="3" max="3" width="9.28515625" customWidth="1"/>
    <col min="4" max="5" width="27.42578125" customWidth="1"/>
  </cols>
  <sheetData>
    <row r="1" spans="1:4" s="6" customFormat="1" x14ac:dyDescent="0.25">
      <c r="A1" s="76" t="s">
        <v>33</v>
      </c>
      <c r="B1" s="77"/>
    </row>
    <row r="2" spans="1:4" s="6" customFormat="1" x14ac:dyDescent="0.25">
      <c r="A2" s="7" t="s">
        <v>27</v>
      </c>
      <c r="B2" s="67"/>
      <c r="D2" s="23" t="s">
        <v>28</v>
      </c>
    </row>
    <row r="3" spans="1:4" s="6" customFormat="1" x14ac:dyDescent="0.25">
      <c r="A3" s="7" t="s">
        <v>24</v>
      </c>
      <c r="B3" s="18"/>
      <c r="D3" s="23" t="s">
        <v>29</v>
      </c>
    </row>
    <row r="4" spans="1:4" s="6" customFormat="1" x14ac:dyDescent="0.25">
      <c r="A4" s="7" t="s">
        <v>25</v>
      </c>
      <c r="B4" s="18"/>
      <c r="D4" s="23" t="s">
        <v>30</v>
      </c>
    </row>
    <row r="5" spans="1:4" s="6" customFormat="1" x14ac:dyDescent="0.25">
      <c r="A5" s="7" t="s">
        <v>26</v>
      </c>
      <c r="B5" s="18"/>
      <c r="D5" s="23" t="s">
        <v>31</v>
      </c>
    </row>
    <row r="6" spans="1:4" s="6" customFormat="1" x14ac:dyDescent="0.25">
      <c r="A6" s="7" t="s">
        <v>23</v>
      </c>
      <c r="B6" s="18"/>
      <c r="D6" s="23" t="s">
        <v>32</v>
      </c>
    </row>
    <row r="7" spans="1:4" s="6" customFormat="1" x14ac:dyDescent="0.25">
      <c r="A7" s="7" t="s">
        <v>70</v>
      </c>
      <c r="B7" s="18"/>
      <c r="D7" s="23" t="s">
        <v>34</v>
      </c>
    </row>
    <row r="8" spans="1:4" s="6" customFormat="1" ht="15.75" customHeight="1" x14ac:dyDescent="0.25">
      <c r="A8" s="7" t="s">
        <v>71</v>
      </c>
      <c r="B8" s="18"/>
      <c r="D8" s="23" t="s">
        <v>120</v>
      </c>
    </row>
    <row r="9" spans="1:4" s="6" customFormat="1" x14ac:dyDescent="0.25"/>
    <row r="10" spans="1:4" s="6" customFormat="1" x14ac:dyDescent="0.25"/>
    <row r="11" spans="1:4" s="59" customFormat="1" x14ac:dyDescent="0.25"/>
    <row r="12" spans="1:4" s="59" customFormat="1" x14ac:dyDescent="0.25"/>
    <row r="13" spans="1:4" s="59" customFormat="1" x14ac:dyDescent="0.25"/>
  </sheetData>
  <mergeCells count="1">
    <mergeCell ref="A1:B1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8" r:id="rId4" name="Button 4">
              <controlPr defaultSize="0" print="0" autoFill="0" autoPict="0" macro="[0]!Sheet6.Reset">
                <anchor moveWithCells="1" sizeWithCells="1">
                  <from>
                    <xdr:col>1</xdr:col>
                    <xdr:colOff>295275</xdr:colOff>
                    <xdr:row>9</xdr:row>
                    <xdr:rowOff>171450</xdr:rowOff>
                  </from>
                  <to>
                    <xdr:col>1</xdr:col>
                    <xdr:colOff>1085850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9" r:id="rId5" name="Button 5">
              <controlPr defaultSize="0" print="0" autoFill="0" autoPict="0" macro="[0]!Sheet6.FetchFolders">
                <anchor moveWithCells="1" sizeWithCells="1">
                  <from>
                    <xdr:col>0</xdr:col>
                    <xdr:colOff>28575</xdr:colOff>
                    <xdr:row>8</xdr:row>
                    <xdr:rowOff>180975</xdr:rowOff>
                  </from>
                  <to>
                    <xdr:col>0</xdr:col>
                    <xdr:colOff>2295525</xdr:colOff>
                    <xdr:row>10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0" r:id="rId6" name="Button 6">
              <controlPr defaultSize="0" print="0" autoFill="0" autoPict="0" macro="[0]!Sheet6.ResetFolder">
                <anchor moveWithCells="1" sizeWithCells="1">
                  <from>
                    <xdr:col>1</xdr:col>
                    <xdr:colOff>1343025</xdr:colOff>
                    <xdr:row>9</xdr:row>
                    <xdr:rowOff>161925</xdr:rowOff>
                  </from>
                  <to>
                    <xdr:col>2</xdr:col>
                    <xdr:colOff>571500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3" r:id="rId7" name="Button 9">
              <controlPr defaultSize="0" print="0" autoFill="0" autoPict="0" macro="[0]!Sheet6.FetchTestPlan">
                <anchor moveWithCells="1" sizeWithCells="1">
                  <from>
                    <xdr:col>0</xdr:col>
                    <xdr:colOff>38100</xdr:colOff>
                    <xdr:row>10</xdr:row>
                    <xdr:rowOff>171450</xdr:rowOff>
                  </from>
                  <to>
                    <xdr:col>0</xdr:col>
                    <xdr:colOff>2295525</xdr:colOff>
                    <xdr:row>12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J18"/>
  <sheetViews>
    <sheetView zoomScaleNormal="100" workbookViewId="0">
      <selection activeCell="B12" sqref="B12"/>
    </sheetView>
  </sheetViews>
  <sheetFormatPr defaultRowHeight="15" x14ac:dyDescent="0.25"/>
  <cols>
    <col min="1" max="1" width="21.7109375" customWidth="1"/>
    <col min="2" max="2" width="12.85546875" customWidth="1"/>
    <col min="3" max="3" width="6.42578125" customWidth="1"/>
    <col min="4" max="4" width="8" customWidth="1"/>
    <col min="5" max="5" width="14.7109375" customWidth="1"/>
    <col min="6" max="6" width="7.42578125" customWidth="1"/>
    <col min="7" max="7" width="4.5703125" customWidth="1"/>
    <col min="8" max="8" width="25.85546875" customWidth="1"/>
    <col min="9" max="9" width="6.7109375" customWidth="1"/>
    <col min="10" max="10" width="11.28515625" bestFit="1" customWidth="1"/>
  </cols>
  <sheetData>
    <row r="1" spans="1:10" x14ac:dyDescent="0.25">
      <c r="A1" s="24" t="s">
        <v>117</v>
      </c>
    </row>
    <row r="4" spans="1:10" x14ac:dyDescent="0.25">
      <c r="A4" s="1" t="s">
        <v>114</v>
      </c>
      <c r="B4" t="s">
        <v>53</v>
      </c>
    </row>
    <row r="6" spans="1:10" x14ac:dyDescent="0.25">
      <c r="A6" s="1" t="s">
        <v>145</v>
      </c>
      <c r="B6" s="1" t="s">
        <v>1</v>
      </c>
    </row>
    <row r="7" spans="1:10" x14ac:dyDescent="0.25">
      <c r="A7" s="1" t="s">
        <v>144</v>
      </c>
      <c r="B7" t="s">
        <v>37</v>
      </c>
      <c r="C7" t="s">
        <v>47</v>
      </c>
      <c r="D7" t="s">
        <v>48</v>
      </c>
      <c r="E7" t="s">
        <v>49</v>
      </c>
      <c r="F7" t="s">
        <v>36</v>
      </c>
      <c r="G7" t="s">
        <v>143</v>
      </c>
      <c r="H7" t="s">
        <v>163</v>
      </c>
      <c r="I7" t="s">
        <v>164</v>
      </c>
      <c r="J7" t="s">
        <v>0</v>
      </c>
    </row>
    <row r="8" spans="1:10" x14ac:dyDescent="0.25">
      <c r="A8" s="2" t="s">
        <v>155</v>
      </c>
      <c r="B8" s="3">
        <v>1</v>
      </c>
      <c r="C8" s="3">
        <v>1</v>
      </c>
      <c r="D8" s="3"/>
      <c r="E8" s="3">
        <v>2</v>
      </c>
      <c r="F8" s="3"/>
      <c r="G8" s="3"/>
      <c r="H8" s="3"/>
      <c r="I8" s="3"/>
      <c r="J8" s="3">
        <v>4</v>
      </c>
    </row>
    <row r="9" spans="1:10" x14ac:dyDescent="0.25">
      <c r="A9" s="5" t="s">
        <v>158</v>
      </c>
      <c r="B9" s="3">
        <v>1</v>
      </c>
      <c r="C9" s="3"/>
      <c r="D9" s="3"/>
      <c r="E9" s="3">
        <v>1</v>
      </c>
      <c r="F9" s="3"/>
      <c r="G9" s="3"/>
      <c r="H9" s="3"/>
      <c r="I9" s="3"/>
      <c r="J9" s="3">
        <v>2</v>
      </c>
    </row>
    <row r="10" spans="1:10" x14ac:dyDescent="0.25">
      <c r="A10" s="5" t="s">
        <v>159</v>
      </c>
      <c r="B10" s="3"/>
      <c r="C10" s="3">
        <v>1</v>
      </c>
      <c r="D10" s="3"/>
      <c r="E10" s="3">
        <v>1</v>
      </c>
      <c r="F10" s="3"/>
      <c r="G10" s="3"/>
      <c r="H10" s="3"/>
      <c r="I10" s="3"/>
      <c r="J10" s="3">
        <v>2</v>
      </c>
    </row>
    <row r="11" spans="1:10" x14ac:dyDescent="0.25">
      <c r="A11" s="2" t="s">
        <v>156</v>
      </c>
      <c r="B11" s="3"/>
      <c r="C11" s="3"/>
      <c r="D11" s="3">
        <v>1</v>
      </c>
      <c r="E11" s="3"/>
      <c r="F11" s="3">
        <v>1</v>
      </c>
      <c r="G11" s="3">
        <v>1</v>
      </c>
      <c r="H11" s="3"/>
      <c r="I11" s="3"/>
      <c r="J11" s="3">
        <v>3</v>
      </c>
    </row>
    <row r="12" spans="1:10" x14ac:dyDescent="0.25">
      <c r="A12" s="5" t="s">
        <v>160</v>
      </c>
      <c r="B12" s="3"/>
      <c r="C12" s="3"/>
      <c r="D12" s="3">
        <v>1</v>
      </c>
      <c r="E12" s="3"/>
      <c r="F12" s="3">
        <v>1</v>
      </c>
      <c r="G12" s="3">
        <v>1</v>
      </c>
      <c r="H12" s="3"/>
      <c r="I12" s="3"/>
      <c r="J12" s="3">
        <v>3</v>
      </c>
    </row>
    <row r="13" spans="1:10" x14ac:dyDescent="0.25">
      <c r="A13" s="2" t="s">
        <v>157</v>
      </c>
      <c r="B13" s="3"/>
      <c r="C13" s="3"/>
      <c r="D13" s="3"/>
      <c r="E13" s="3"/>
      <c r="F13" s="3"/>
      <c r="G13" s="3"/>
      <c r="H13" s="3">
        <v>1</v>
      </c>
      <c r="I13" s="3">
        <v>1</v>
      </c>
      <c r="J13" s="3">
        <v>2</v>
      </c>
    </row>
    <row r="14" spans="1:10" x14ac:dyDescent="0.25">
      <c r="A14" s="5" t="s">
        <v>161</v>
      </c>
      <c r="B14" s="3"/>
      <c r="C14" s="3"/>
      <c r="D14" s="3"/>
      <c r="E14" s="3"/>
      <c r="F14" s="3"/>
      <c r="G14" s="3"/>
      <c r="H14" s="3">
        <v>1</v>
      </c>
      <c r="I14" s="3">
        <v>1</v>
      </c>
      <c r="J14" s="3">
        <v>2</v>
      </c>
    </row>
    <row r="15" spans="1:10" x14ac:dyDescent="0.25">
      <c r="A15" s="2" t="s">
        <v>165</v>
      </c>
      <c r="B15" s="3">
        <v>1</v>
      </c>
      <c r="C15" s="3">
        <v>1</v>
      </c>
      <c r="D15" s="3">
        <v>1</v>
      </c>
      <c r="E15" s="3"/>
      <c r="F15" s="3"/>
      <c r="G15" s="3"/>
      <c r="H15" s="3"/>
      <c r="I15" s="3"/>
      <c r="J15" s="3">
        <v>3</v>
      </c>
    </row>
    <row r="16" spans="1:10" x14ac:dyDescent="0.25">
      <c r="A16" s="5" t="s">
        <v>162</v>
      </c>
      <c r="B16" s="3">
        <v>1</v>
      </c>
      <c r="C16" s="3">
        <v>1</v>
      </c>
      <c r="D16" s="3"/>
      <c r="E16" s="3"/>
      <c r="F16" s="3"/>
      <c r="G16" s="3"/>
      <c r="H16" s="3"/>
      <c r="I16" s="3"/>
      <c r="J16" s="3">
        <v>2</v>
      </c>
    </row>
    <row r="17" spans="1:10" x14ac:dyDescent="0.25">
      <c r="A17" s="5" t="s">
        <v>166</v>
      </c>
      <c r="B17" s="3"/>
      <c r="C17" s="3"/>
      <c r="D17" s="3">
        <v>1</v>
      </c>
      <c r="E17" s="3"/>
      <c r="F17" s="3"/>
      <c r="G17" s="3"/>
      <c r="H17" s="3"/>
      <c r="I17" s="3"/>
      <c r="J17" s="3">
        <v>1</v>
      </c>
    </row>
    <row r="18" spans="1:10" x14ac:dyDescent="0.25">
      <c r="A18" s="2" t="s">
        <v>0</v>
      </c>
      <c r="B18" s="3">
        <v>2</v>
      </c>
      <c r="C18" s="3">
        <v>2</v>
      </c>
      <c r="D18" s="3">
        <v>2</v>
      </c>
      <c r="E18" s="3">
        <v>2</v>
      </c>
      <c r="F18" s="3">
        <v>1</v>
      </c>
      <c r="G18" s="3">
        <v>1</v>
      </c>
      <c r="H18" s="3">
        <v>1</v>
      </c>
      <c r="I18" s="3">
        <v>1</v>
      </c>
      <c r="J18" s="3">
        <v>12</v>
      </c>
    </row>
  </sheetData>
  <pageMargins left="0.7" right="0.7" top="0.75" bottom="0.75" header="0.3" footer="0.3"/>
  <pageSetup orientation="portrait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Sheet1.FetchTCER">
                <anchor moveWithCells="1" sizeWithCells="1">
                  <from>
                    <xdr:col>0</xdr:col>
                    <xdr:colOff>38100</xdr:colOff>
                    <xdr:row>1</xdr:row>
                    <xdr:rowOff>9525</xdr:rowOff>
                  </from>
                  <to>
                    <xdr:col>0</xdr:col>
                    <xdr:colOff>1581150</xdr:colOff>
                    <xdr:row>2</xdr:row>
                    <xdr:rowOff>85725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/>
  <dimension ref="A1:L19"/>
  <sheetViews>
    <sheetView zoomScaleNormal="100" workbookViewId="0">
      <selection activeCell="E10" sqref="E10"/>
    </sheetView>
  </sheetViews>
  <sheetFormatPr defaultRowHeight="15" x14ac:dyDescent="0.25"/>
  <cols>
    <col min="1" max="1" width="15.85546875" customWidth="1"/>
    <col min="2" max="2" width="8.85546875" customWidth="1"/>
    <col min="3" max="3" width="11.85546875" customWidth="1"/>
    <col min="4" max="4" width="9" customWidth="1"/>
    <col min="5" max="5" width="12.85546875" customWidth="1"/>
    <col min="6" max="6" width="10.7109375" customWidth="1"/>
    <col min="7" max="8" width="11.28515625" customWidth="1"/>
    <col min="9" max="9" width="10.7109375" customWidth="1"/>
    <col min="10" max="10" width="11.28515625" customWidth="1"/>
    <col min="11" max="11" width="5.140625" customWidth="1"/>
    <col min="12" max="12" width="12.85546875" customWidth="1"/>
    <col min="13" max="13" width="10.7109375" customWidth="1"/>
    <col min="14" max="14" width="11.28515625" customWidth="1"/>
    <col min="15" max="20" width="3.140625" customWidth="1"/>
    <col min="21" max="29" width="4.5703125" customWidth="1"/>
    <col min="30" max="30" width="15" customWidth="1"/>
    <col min="31" max="31" width="107" bestFit="1" customWidth="1"/>
    <col min="32" max="32" width="12" bestFit="1" customWidth="1"/>
    <col min="33" max="33" width="11.28515625" bestFit="1" customWidth="1"/>
  </cols>
  <sheetData>
    <row r="1" spans="1:12" x14ac:dyDescent="0.25">
      <c r="A1" s="24" t="s">
        <v>118</v>
      </c>
    </row>
    <row r="2" spans="1:12" x14ac:dyDescent="0.25">
      <c r="D2" s="65" t="s">
        <v>138</v>
      </c>
    </row>
    <row r="4" spans="1:12" x14ac:dyDescent="0.25">
      <c r="A4" s="1" t="s">
        <v>79</v>
      </c>
      <c r="B4" t="s">
        <v>53</v>
      </c>
    </row>
    <row r="6" spans="1:12" x14ac:dyDescent="0.25">
      <c r="A6" s="1" t="s">
        <v>119</v>
      </c>
      <c r="B6" s="1" t="s">
        <v>95</v>
      </c>
    </row>
    <row r="7" spans="1:12" x14ac:dyDescent="0.25">
      <c r="B7" t="s">
        <v>73</v>
      </c>
      <c r="C7" t="s">
        <v>96</v>
      </c>
      <c r="D7" t="s">
        <v>76</v>
      </c>
      <c r="F7" t="s">
        <v>97</v>
      </c>
      <c r="G7" t="s">
        <v>0</v>
      </c>
    </row>
    <row r="8" spans="1:12" x14ac:dyDescent="0.25">
      <c r="A8" s="1" t="s">
        <v>94</v>
      </c>
      <c r="B8" t="s">
        <v>75</v>
      </c>
      <c r="D8" t="s">
        <v>77</v>
      </c>
      <c r="E8" t="s">
        <v>78</v>
      </c>
    </row>
    <row r="9" spans="1:12" x14ac:dyDescent="0.25">
      <c r="A9" s="2" t="s">
        <v>140</v>
      </c>
      <c r="B9" s="3">
        <v>1</v>
      </c>
      <c r="C9" s="3">
        <v>1</v>
      </c>
      <c r="D9" s="3"/>
      <c r="E9" s="3"/>
      <c r="F9" s="3"/>
      <c r="G9" s="3">
        <v>1</v>
      </c>
    </row>
    <row r="10" spans="1:12" x14ac:dyDescent="0.25">
      <c r="A10" s="2" t="s">
        <v>74</v>
      </c>
      <c r="B10" s="3">
        <v>1</v>
      </c>
      <c r="C10" s="3">
        <v>1</v>
      </c>
      <c r="D10" s="3"/>
      <c r="E10" s="3"/>
      <c r="F10" s="3"/>
      <c r="G10" s="3">
        <v>1</v>
      </c>
    </row>
    <row r="11" spans="1:12" x14ac:dyDescent="0.25">
      <c r="A11" s="2" t="s">
        <v>189</v>
      </c>
      <c r="B11" s="3">
        <v>1</v>
      </c>
      <c r="C11" s="3">
        <v>1</v>
      </c>
      <c r="D11" s="3"/>
      <c r="E11" s="3"/>
      <c r="F11" s="3"/>
      <c r="G11" s="3">
        <v>1</v>
      </c>
    </row>
    <row r="12" spans="1:12" x14ac:dyDescent="0.25">
      <c r="A12" s="2" t="s">
        <v>72</v>
      </c>
      <c r="B12" s="3"/>
      <c r="C12" s="3"/>
      <c r="D12" s="3">
        <v>1</v>
      </c>
      <c r="E12" s="3">
        <v>1</v>
      </c>
      <c r="F12" s="3">
        <v>2</v>
      </c>
      <c r="G12" s="3">
        <v>2</v>
      </c>
    </row>
    <row r="13" spans="1:12" x14ac:dyDescent="0.25">
      <c r="A13" s="2" t="s">
        <v>0</v>
      </c>
      <c r="B13" s="3">
        <v>3</v>
      </c>
      <c r="C13" s="3">
        <v>3</v>
      </c>
      <c r="D13" s="3">
        <v>1</v>
      </c>
      <c r="E13" s="3">
        <v>1</v>
      </c>
      <c r="F13" s="3">
        <v>2</v>
      </c>
      <c r="G13" s="3">
        <v>5</v>
      </c>
    </row>
    <row r="15" spans="1:12" x14ac:dyDescent="0.25">
      <c r="L15" s="2"/>
    </row>
    <row r="16" spans="1:12" x14ac:dyDescent="0.25">
      <c r="L16" s="2"/>
    </row>
    <row r="17" spans="12:12" x14ac:dyDescent="0.25">
      <c r="L17" s="2"/>
    </row>
    <row r="18" spans="12:12" x14ac:dyDescent="0.25">
      <c r="L18" s="2"/>
    </row>
    <row r="19" spans="12:12" x14ac:dyDescent="0.25">
      <c r="L19" s="2"/>
    </row>
  </sheetData>
  <pageMargins left="0.7" right="0.7" top="0.75" bottom="0.75" header="0.3" footer="0.3"/>
  <pageSetup orientation="portrait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89" r:id="rId5" name="Button 1">
              <controlPr defaultSize="0" print="0" autoFill="0" autoPict="0" macro="[0]!Sheet8.FetchDefects">
                <anchor moveWithCells="1" sizeWithCells="1">
                  <from>
                    <xdr:col>0</xdr:col>
                    <xdr:colOff>19050</xdr:colOff>
                    <xdr:row>1</xdr:row>
                    <xdr:rowOff>19050</xdr:rowOff>
                  </from>
                  <to>
                    <xdr:col>2</xdr:col>
                    <xdr:colOff>0</xdr:colOff>
                    <xdr:row>2</xdr:row>
                    <xdr:rowOff>85725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U24"/>
  <sheetViews>
    <sheetView zoomScaleNormal="100" workbookViewId="0">
      <selection activeCell="Q15" sqref="Q15"/>
    </sheetView>
  </sheetViews>
  <sheetFormatPr defaultRowHeight="15" x14ac:dyDescent="0.25"/>
  <cols>
    <col min="1" max="1" width="7.28515625" style="6" customWidth="1"/>
    <col min="2" max="2" width="29.7109375" style="6" bestFit="1" customWidth="1"/>
    <col min="3" max="3" width="9.7109375" style="6" bestFit="1" customWidth="1"/>
    <col min="4" max="5" width="9.140625" style="6"/>
    <col min="6" max="6" width="18.28515625" customWidth="1"/>
    <col min="15" max="15" width="10.28515625" bestFit="1" customWidth="1"/>
    <col min="16" max="16" width="9.140625" style="6"/>
    <col min="17" max="17" width="15" customWidth="1"/>
    <col min="22" max="16384" width="9.140625" style="6"/>
  </cols>
  <sheetData>
    <row r="1" spans="1:21" ht="19.5" customHeight="1" x14ac:dyDescent="0.25">
      <c r="A1" s="27" t="s">
        <v>8</v>
      </c>
      <c r="B1" s="28" t="s">
        <v>9</v>
      </c>
      <c r="C1" s="28" t="s">
        <v>22</v>
      </c>
      <c r="D1" s="29"/>
      <c r="F1" s="59"/>
      <c r="G1" s="66"/>
      <c r="H1" s="59"/>
      <c r="I1" s="59"/>
      <c r="J1" s="59"/>
      <c r="K1" s="59"/>
      <c r="L1" s="59"/>
      <c r="M1" s="59"/>
      <c r="N1" s="59"/>
      <c r="O1" s="59"/>
      <c r="Q1" s="6"/>
      <c r="R1" s="6"/>
      <c r="S1" s="6"/>
      <c r="T1" s="6"/>
      <c r="U1" s="6"/>
    </row>
    <row r="2" spans="1:21" x14ac:dyDescent="0.25">
      <c r="A2" s="30">
        <v>1</v>
      </c>
      <c r="B2" s="30" t="s">
        <v>7</v>
      </c>
      <c r="C2" s="25">
        <f>COUNTA('TCER Data'!C:C)-1</f>
        <v>12</v>
      </c>
      <c r="D2" s="31"/>
      <c r="F2" s="60" t="s">
        <v>142</v>
      </c>
      <c r="G2" s="60" t="s">
        <v>146</v>
      </c>
      <c r="H2" s="60" t="s">
        <v>147</v>
      </c>
      <c r="I2" s="60" t="s">
        <v>148</v>
      </c>
      <c r="J2" s="60" t="s">
        <v>149</v>
      </c>
      <c r="K2" s="60" t="s">
        <v>150</v>
      </c>
      <c r="L2" s="60" t="s">
        <v>151</v>
      </c>
      <c r="M2" s="60" t="s">
        <v>152</v>
      </c>
      <c r="N2" s="60" t="s">
        <v>153</v>
      </c>
      <c r="O2" s="60" t="s">
        <v>154</v>
      </c>
      <c r="Q2" s="60" t="s">
        <v>93</v>
      </c>
      <c r="R2" s="60" t="s">
        <v>121</v>
      </c>
      <c r="S2" s="60" t="s">
        <v>122</v>
      </c>
      <c r="T2" s="60" t="s">
        <v>123</v>
      </c>
      <c r="U2" s="60" t="s">
        <v>124</v>
      </c>
    </row>
    <row r="3" spans="1:21" x14ac:dyDescent="0.25">
      <c r="A3" s="30">
        <v>2</v>
      </c>
      <c r="B3" s="30" t="s">
        <v>101</v>
      </c>
      <c r="C3" s="25">
        <f>C2-COUNTIF('TCER Data'!C:C,"N/A")-COUNTIF('TCER Data'!C:C,"Functionality not delivered")</f>
        <v>10</v>
      </c>
      <c r="D3" s="31"/>
      <c r="F3" s="58" t="s">
        <v>158</v>
      </c>
      <c r="G3" s="70">
        <v>0.5</v>
      </c>
      <c r="H3" s="58">
        <v>2</v>
      </c>
      <c r="I3" s="58">
        <v>1</v>
      </c>
      <c r="J3" s="58">
        <v>1</v>
      </c>
      <c r="K3" s="58">
        <v>0</v>
      </c>
      <c r="L3" s="58">
        <v>0</v>
      </c>
      <c r="M3" s="58">
        <v>1</v>
      </c>
      <c r="N3" s="58">
        <v>0</v>
      </c>
      <c r="O3" s="58">
        <v>0</v>
      </c>
      <c r="Q3" s="58" t="s">
        <v>190</v>
      </c>
      <c r="R3" s="58">
        <v>1</v>
      </c>
      <c r="S3" s="58">
        <v>0</v>
      </c>
      <c r="T3" s="58">
        <v>1</v>
      </c>
      <c r="U3" s="58">
        <v>0</v>
      </c>
    </row>
    <row r="4" spans="1:21" x14ac:dyDescent="0.25">
      <c r="A4" s="29"/>
      <c r="B4" s="29"/>
      <c r="C4" s="29"/>
      <c r="D4" s="29"/>
      <c r="F4" s="58" t="s">
        <v>159</v>
      </c>
      <c r="G4" s="70">
        <v>0.5</v>
      </c>
      <c r="H4" s="58">
        <v>2</v>
      </c>
      <c r="I4" s="58">
        <v>1</v>
      </c>
      <c r="J4" s="58">
        <v>0</v>
      </c>
      <c r="K4" s="58">
        <v>1</v>
      </c>
      <c r="L4" s="58">
        <v>0</v>
      </c>
      <c r="M4" s="58">
        <v>1</v>
      </c>
      <c r="N4" s="58">
        <v>0</v>
      </c>
      <c r="O4" s="58">
        <v>0</v>
      </c>
      <c r="Q4" s="58" t="s">
        <v>191</v>
      </c>
      <c r="R4" s="58">
        <v>0</v>
      </c>
      <c r="S4" s="58">
        <v>1</v>
      </c>
      <c r="T4" s="58">
        <v>1</v>
      </c>
      <c r="U4" s="58">
        <v>0</v>
      </c>
    </row>
    <row r="5" spans="1:21" x14ac:dyDescent="0.25">
      <c r="A5" s="30">
        <v>3</v>
      </c>
      <c r="B5" s="30" t="s">
        <v>11</v>
      </c>
      <c r="C5" s="25">
        <f>COUNTIF('TCER Data'!C:C,"Passed")</f>
        <v>2</v>
      </c>
      <c r="D5" s="26">
        <f>C5/C3</f>
        <v>0.2</v>
      </c>
      <c r="F5" s="58" t="s">
        <v>160</v>
      </c>
      <c r="G5" s="70">
        <v>0</v>
      </c>
      <c r="H5" s="58">
        <v>3</v>
      </c>
      <c r="I5" s="58">
        <v>0</v>
      </c>
      <c r="J5" s="58">
        <v>0</v>
      </c>
      <c r="K5" s="58">
        <v>0</v>
      </c>
      <c r="L5" s="58">
        <v>1</v>
      </c>
      <c r="M5" s="58">
        <v>0</v>
      </c>
      <c r="N5" s="58">
        <v>1</v>
      </c>
      <c r="O5" s="58">
        <v>1</v>
      </c>
      <c r="Q5" s="58" t="s">
        <v>192</v>
      </c>
      <c r="R5" s="58">
        <v>0</v>
      </c>
      <c r="S5" s="58">
        <v>0</v>
      </c>
      <c r="T5" s="58">
        <v>0</v>
      </c>
      <c r="U5" s="58">
        <v>0</v>
      </c>
    </row>
    <row r="6" spans="1:21" x14ac:dyDescent="0.25">
      <c r="A6" s="30">
        <v>4</v>
      </c>
      <c r="B6" s="30" t="s">
        <v>12</v>
      </c>
      <c r="C6" s="25">
        <f>COUNTIF('TCER Data'!C:C,"Failed")</f>
        <v>2</v>
      </c>
      <c r="D6" s="26">
        <f>C6/C3</f>
        <v>0.2</v>
      </c>
      <c r="F6" s="58" t="s">
        <v>161</v>
      </c>
      <c r="G6" s="70">
        <v>0</v>
      </c>
      <c r="H6" s="58">
        <v>2</v>
      </c>
      <c r="I6" s="58">
        <v>0</v>
      </c>
      <c r="J6" s="58">
        <v>0</v>
      </c>
      <c r="K6" s="58">
        <v>0</v>
      </c>
      <c r="L6" s="58">
        <v>0</v>
      </c>
      <c r="M6" s="58">
        <v>1</v>
      </c>
      <c r="N6" s="58">
        <v>0</v>
      </c>
      <c r="O6" s="58">
        <v>1</v>
      </c>
      <c r="Q6" s="60" t="s">
        <v>116</v>
      </c>
      <c r="R6" s="57">
        <v>1</v>
      </c>
      <c r="S6" s="57">
        <v>1</v>
      </c>
      <c r="T6" s="57">
        <v>2</v>
      </c>
      <c r="U6" s="57">
        <v>0</v>
      </c>
    </row>
    <row r="7" spans="1:21" x14ac:dyDescent="0.25">
      <c r="A7" s="30">
        <v>5</v>
      </c>
      <c r="B7" s="30" t="s">
        <v>13</v>
      </c>
      <c r="C7" s="25">
        <f>COUNTIF('TCER Data'!C:C,"Blocked")</f>
        <v>2</v>
      </c>
      <c r="D7" s="26">
        <f>C7/C3</f>
        <v>0.2</v>
      </c>
      <c r="F7" s="58" t="s">
        <v>162</v>
      </c>
      <c r="G7" s="70">
        <v>1</v>
      </c>
      <c r="H7" s="58">
        <v>2</v>
      </c>
      <c r="I7" s="58">
        <v>2</v>
      </c>
      <c r="J7" s="58">
        <v>1</v>
      </c>
      <c r="K7" s="58">
        <v>1</v>
      </c>
      <c r="L7" s="58">
        <v>0</v>
      </c>
      <c r="M7" s="58">
        <v>0</v>
      </c>
      <c r="N7" s="58">
        <v>0</v>
      </c>
      <c r="O7" s="58">
        <v>0</v>
      </c>
    </row>
    <row r="8" spans="1:21" x14ac:dyDescent="0.25">
      <c r="A8" s="30">
        <v>6</v>
      </c>
      <c r="B8" s="30" t="s">
        <v>14</v>
      </c>
      <c r="C8" s="25">
        <f>COUNTIF('TCER Data'!C:C,"Not Completed")</f>
        <v>2</v>
      </c>
      <c r="D8" s="26">
        <f>C8/C3</f>
        <v>0.2</v>
      </c>
      <c r="F8" s="58" t="s">
        <v>166</v>
      </c>
      <c r="G8" s="70">
        <v>0</v>
      </c>
      <c r="H8" s="58">
        <v>1</v>
      </c>
      <c r="I8" s="58">
        <v>0</v>
      </c>
      <c r="J8" s="58">
        <v>0</v>
      </c>
      <c r="K8" s="58">
        <v>0</v>
      </c>
      <c r="L8" s="58">
        <v>1</v>
      </c>
      <c r="M8" s="58">
        <v>0</v>
      </c>
      <c r="N8" s="58">
        <v>0</v>
      </c>
      <c r="O8" s="58">
        <v>0</v>
      </c>
    </row>
    <row r="9" spans="1:21" x14ac:dyDescent="0.25">
      <c r="A9" s="30">
        <v>7</v>
      </c>
      <c r="B9" s="30" t="s">
        <v>15</v>
      </c>
      <c r="C9" s="25">
        <f>COUNTIF('TCER Data'!C:C,"No Run")</f>
        <v>1</v>
      </c>
      <c r="D9" s="26">
        <f>C9/C3</f>
        <v>0.1</v>
      </c>
      <c r="F9" s="60" t="s">
        <v>116</v>
      </c>
      <c r="G9" s="71">
        <v>0.33</v>
      </c>
      <c r="H9" s="57">
        <v>12</v>
      </c>
      <c r="I9" s="57">
        <v>4</v>
      </c>
      <c r="J9" s="72">
        <v>2</v>
      </c>
      <c r="K9" s="73">
        <v>2</v>
      </c>
      <c r="L9" s="74">
        <v>2</v>
      </c>
      <c r="M9" s="57">
        <v>3</v>
      </c>
      <c r="N9" s="57">
        <v>1</v>
      </c>
      <c r="O9" s="57">
        <v>2</v>
      </c>
    </row>
    <row r="10" spans="1:21" x14ac:dyDescent="0.25">
      <c r="A10" s="30">
        <v>8</v>
      </c>
      <c r="B10" s="30" t="s">
        <v>16</v>
      </c>
      <c r="C10" s="25">
        <f>COUNTIF('TCER Data'!C:C,"N/A")</f>
        <v>1</v>
      </c>
      <c r="D10" s="26">
        <f>C10/C3</f>
        <v>0.1</v>
      </c>
    </row>
    <row r="11" spans="1:21" x14ac:dyDescent="0.25">
      <c r="A11" s="30">
        <v>9</v>
      </c>
      <c r="B11" s="30" t="s">
        <v>17</v>
      </c>
      <c r="C11" s="25">
        <f>COUNTIF('TCER Data'!C:C,"Retest")</f>
        <v>1</v>
      </c>
      <c r="D11" s="26">
        <f>C11/C3</f>
        <v>0.1</v>
      </c>
    </row>
    <row r="12" spans="1:21" x14ac:dyDescent="0.25">
      <c r="A12" s="30">
        <v>10</v>
      </c>
      <c r="B12" s="30" t="s">
        <v>18</v>
      </c>
      <c r="C12" s="25">
        <f>COUNTIF('TCER Data'!C:C,"Functionality not delivered")</f>
        <v>1</v>
      </c>
      <c r="D12" s="26">
        <f>C12/C3</f>
        <v>0.1</v>
      </c>
    </row>
    <row r="13" spans="1:21" x14ac:dyDescent="0.25">
      <c r="A13" s="29"/>
      <c r="B13" s="29"/>
      <c r="C13" s="29"/>
      <c r="D13" s="29"/>
    </row>
    <row r="14" spans="1:21" x14ac:dyDescent="0.25">
      <c r="A14" s="30">
        <v>11</v>
      </c>
      <c r="B14" s="30" t="s">
        <v>10</v>
      </c>
      <c r="C14" s="25">
        <f>C5+C6</f>
        <v>4</v>
      </c>
      <c r="D14" s="26">
        <f>C14/C3</f>
        <v>0.4</v>
      </c>
    </row>
    <row r="15" spans="1:21" x14ac:dyDescent="0.25">
      <c r="A15" s="30">
        <v>12</v>
      </c>
      <c r="B15" s="30" t="s">
        <v>19</v>
      </c>
      <c r="C15" s="25">
        <f>C3-C14</f>
        <v>6</v>
      </c>
      <c r="D15" s="26">
        <f>C15/C3</f>
        <v>0.6</v>
      </c>
    </row>
    <row r="17" spans="1:4" x14ac:dyDescent="0.25">
      <c r="A17" s="30">
        <v>13</v>
      </c>
      <c r="B17" s="30" t="s">
        <v>100</v>
      </c>
      <c r="C17" s="25">
        <f>COUNTA('Defects List'!B:B)-1</f>
        <v>5</v>
      </c>
      <c r="D17" s="29"/>
    </row>
    <row r="18" spans="1:4" x14ac:dyDescent="0.25">
      <c r="A18" s="30">
        <v>14</v>
      </c>
      <c r="B18" s="30" t="s">
        <v>99</v>
      </c>
      <c r="C18" s="25">
        <f>C17-COUNTIF('Defects List'!N:N,"Withdrawn")-COUNTIF('Defects List'!N:N,"Rejected")</f>
        <v>5</v>
      </c>
      <c r="D18" s="26">
        <f>C18/C17</f>
        <v>1</v>
      </c>
    </row>
    <row r="19" spans="1:4" x14ac:dyDescent="0.25">
      <c r="A19" s="30">
        <v>15</v>
      </c>
      <c r="B19" s="30" t="s">
        <v>102</v>
      </c>
      <c r="C19" s="25">
        <f>COUNTIF('Defects List'!G:G,"Open")</f>
        <v>2</v>
      </c>
      <c r="D19" s="26">
        <f>C19/C17</f>
        <v>0.4</v>
      </c>
    </row>
    <row r="20" spans="1:4" x14ac:dyDescent="0.25">
      <c r="A20" s="30">
        <v>16</v>
      </c>
      <c r="B20" s="30" t="s">
        <v>103</v>
      </c>
      <c r="C20" s="25">
        <f>COUNTIF('Defects List'!G:G,"Closed")</f>
        <v>3</v>
      </c>
      <c r="D20" s="26">
        <f>C20/C17</f>
        <v>0.6</v>
      </c>
    </row>
    <row r="21" spans="1:4" x14ac:dyDescent="0.25">
      <c r="A21" s="30">
        <v>17</v>
      </c>
      <c r="B21" s="30" t="s">
        <v>104</v>
      </c>
      <c r="C21" s="25">
        <f>COUNTIF('Defects List'!E:E,"1 - Critical")+COUNTIF('Defects List'!E:E,"2 - High")</f>
        <v>2</v>
      </c>
      <c r="D21" s="26">
        <f>C21/C17</f>
        <v>0.4</v>
      </c>
    </row>
    <row r="22" spans="1:4" x14ac:dyDescent="0.25">
      <c r="A22" s="30">
        <v>18</v>
      </c>
      <c r="B22" s="30" t="s">
        <v>105</v>
      </c>
      <c r="C22" s="25">
        <f>COUNTIF('Defects List'!E:E,"3 - Medium")+COUNTIF('Defects List'!E:E,"4 - Low")</f>
        <v>2</v>
      </c>
      <c r="D22" s="26">
        <f>C22/C17</f>
        <v>0.4</v>
      </c>
    </row>
    <row r="23" spans="1:4" x14ac:dyDescent="0.25">
      <c r="A23" s="30">
        <v>19</v>
      </c>
      <c r="B23" s="30" t="s">
        <v>106</v>
      </c>
      <c r="C23" s="61">
        <f>C17-C18</f>
        <v>0</v>
      </c>
      <c r="D23" s="62">
        <f>C23/C17</f>
        <v>0</v>
      </c>
    </row>
    <row r="24" spans="1:4" x14ac:dyDescent="0.25">
      <c r="A24" s="30">
        <v>20</v>
      </c>
      <c r="B24" s="56" t="s">
        <v>107</v>
      </c>
      <c r="C24" s="63">
        <f>AVERAGE('Defects List'!Q:Q)</f>
        <v>10.6</v>
      </c>
      <c r="D24" s="64" t="s">
        <v>108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8" r:id="rId4" name="Button 2">
              <controlPr defaultSize="0" print="0" autoFill="0" autoPict="0" macro="[0]!Sheet4.CycleReport">
                <anchor moveWithCells="1" sizeWithCells="1">
                  <from>
                    <xdr:col>4</xdr:col>
                    <xdr:colOff>561975</xdr:colOff>
                    <xdr:row>0</xdr:row>
                    <xdr:rowOff>28575</xdr:rowOff>
                  </from>
                  <to>
                    <xdr:col>6</xdr:col>
                    <xdr:colOff>28575</xdr:colOff>
                    <xdr:row>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5" name="Button 3">
              <controlPr defaultSize="0" print="0" autoFill="0" autoPict="0" macro="[0]!Sheet4.SubjectReport">
                <anchor moveWithCells="1" sizeWithCells="1">
                  <from>
                    <xdr:col>15</xdr:col>
                    <xdr:colOff>514350</xdr:colOff>
                    <xdr:row>0</xdr:row>
                    <xdr:rowOff>28575</xdr:rowOff>
                  </from>
                  <to>
                    <xdr:col>17</xdr:col>
                    <xdr:colOff>228600</xdr:colOff>
                    <xdr:row>0</xdr:row>
                    <xdr:rowOff>228600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AG39"/>
  <sheetViews>
    <sheetView zoomScaleNormal="100" workbookViewId="0">
      <selection activeCell="E12" sqref="E12"/>
    </sheetView>
  </sheetViews>
  <sheetFormatPr defaultRowHeight="15" x14ac:dyDescent="0.25"/>
  <cols>
    <col min="1" max="1" width="23.5703125" style="6" customWidth="1"/>
    <col min="2" max="2" width="11" style="6" customWidth="1"/>
    <col min="3" max="3" width="10.42578125" style="6" customWidth="1"/>
    <col min="4" max="4" width="11" style="6" customWidth="1"/>
    <col min="5" max="5" width="10.42578125" style="6" customWidth="1"/>
    <col min="6" max="6" width="10.7109375" style="6" customWidth="1"/>
    <col min="7" max="7" width="10.42578125" style="6" customWidth="1"/>
    <col min="8" max="8" width="10.7109375" style="8" customWidth="1"/>
    <col min="9" max="9" width="10.42578125" style="6" customWidth="1"/>
    <col min="10" max="10" width="10.85546875" style="6" customWidth="1"/>
    <col min="11" max="11" width="10.42578125" style="6" customWidth="1"/>
    <col min="12" max="13" width="10.28515625" style="6" customWidth="1"/>
    <col min="14" max="14" width="10.42578125" style="6" customWidth="1"/>
    <col min="15" max="15" width="10.28515625" style="6" customWidth="1"/>
    <col min="16" max="16" width="10.140625" style="6" customWidth="1"/>
    <col min="17" max="17" width="9.85546875" style="6" customWidth="1"/>
    <col min="18" max="26" width="9.7109375" style="6" customWidth="1"/>
    <col min="27" max="27" width="9.7109375" style="6" bestFit="1" customWidth="1"/>
    <col min="28" max="28" width="11.28515625" style="6" customWidth="1"/>
    <col min="29" max="31" width="9.7109375" style="6" customWidth="1"/>
    <col min="32" max="46" width="9.7109375" style="6" bestFit="1" customWidth="1"/>
    <col min="47" max="47" width="11.28515625" style="6" bestFit="1" customWidth="1"/>
    <col min="48" max="62" width="9.7109375" style="6" bestFit="1" customWidth="1"/>
    <col min="63" max="68" width="9.140625" style="6"/>
    <col min="69" max="89" width="9.7109375" style="6" bestFit="1" customWidth="1"/>
    <col min="90" max="93" width="9.85546875" style="6" bestFit="1" customWidth="1"/>
    <col min="94" max="98" width="9.140625" style="6"/>
    <col min="99" max="120" width="9.42578125" style="6" bestFit="1" customWidth="1"/>
    <col min="121" max="129" width="9.140625" style="6"/>
    <col min="130" max="150" width="10" style="6" bestFit="1" customWidth="1"/>
    <col min="151" max="159" width="9.140625" style="6"/>
    <col min="160" max="181" width="9.7109375" style="6" bestFit="1" customWidth="1"/>
    <col min="182" max="221" width="9.140625" style="6"/>
    <col min="222" max="240" width="9.7109375" style="6" bestFit="1" customWidth="1"/>
    <col min="241" max="249" width="9.140625" style="6"/>
    <col min="250" max="271" width="9.85546875" style="6" bestFit="1" customWidth="1"/>
    <col min="272" max="280" width="9.140625" style="6"/>
    <col min="281" max="301" width="9.5703125" style="6" bestFit="1" customWidth="1"/>
    <col min="302" max="310" width="9.140625" style="6"/>
    <col min="311" max="332" width="10.140625" style="6" bestFit="1" customWidth="1"/>
    <col min="333" max="341" width="9.140625" style="6"/>
    <col min="342" max="362" width="9.42578125" style="6" bestFit="1" customWidth="1"/>
    <col min="363" max="402" width="9.140625" style="6"/>
    <col min="403" max="424" width="9.85546875" style="6" bestFit="1" customWidth="1"/>
    <col min="425" max="433" width="9.140625" style="6"/>
    <col min="434" max="454" width="9.7109375" style="6" bestFit="1" customWidth="1"/>
    <col min="455" max="463" width="9.140625" style="6"/>
    <col min="464" max="485" width="9.42578125" style="6" bestFit="1" customWidth="1"/>
    <col min="486" max="494" width="9.140625" style="6"/>
    <col min="495" max="515" width="10" style="6" bestFit="1" customWidth="1"/>
    <col min="516" max="524" width="9.140625" style="6"/>
    <col min="525" max="546" width="9.7109375" style="6" bestFit="1" customWidth="1"/>
    <col min="547" max="586" width="9.140625" style="6"/>
    <col min="587" max="605" width="9.7109375" style="6" bestFit="1" customWidth="1"/>
    <col min="606" max="614" width="9.140625" style="6"/>
    <col min="615" max="636" width="9.85546875" style="6" bestFit="1" customWidth="1"/>
    <col min="637" max="645" width="9.140625" style="6"/>
    <col min="646" max="666" width="9.5703125" style="6" bestFit="1" customWidth="1"/>
    <col min="667" max="675" width="9.140625" style="6"/>
    <col min="676" max="697" width="10.140625" style="6" bestFit="1" customWidth="1"/>
    <col min="698" max="706" width="9.140625" style="6"/>
    <col min="707" max="727" width="9.42578125" style="6" bestFit="1" customWidth="1"/>
    <col min="728" max="767" width="9.140625" style="6"/>
    <col min="768" max="789" width="9.85546875" style="6" bestFit="1" customWidth="1"/>
    <col min="790" max="798" width="9.140625" style="6"/>
    <col min="799" max="819" width="9.7109375" style="6" bestFit="1" customWidth="1"/>
    <col min="820" max="828" width="9.140625" style="6"/>
    <col min="829" max="850" width="9.42578125" style="6" bestFit="1" customWidth="1"/>
    <col min="851" max="859" width="9.140625" style="6"/>
    <col min="860" max="880" width="10" style="6" bestFit="1" customWidth="1"/>
    <col min="881" max="889" width="9.140625" style="6"/>
    <col min="890" max="911" width="9.7109375" style="6" bestFit="1" customWidth="1"/>
    <col min="912" max="951" width="9.140625" style="6"/>
    <col min="952" max="970" width="9.7109375" style="6" bestFit="1" customWidth="1"/>
    <col min="971" max="979" width="9.140625" style="6"/>
    <col min="980" max="1001" width="9.85546875" style="6" bestFit="1" customWidth="1"/>
    <col min="1002" max="1010" width="9.140625" style="6"/>
    <col min="1011" max="1031" width="9.5703125" style="6" bestFit="1" customWidth="1"/>
    <col min="1032" max="1040" width="9.140625" style="6"/>
    <col min="1041" max="1062" width="10.140625" style="6" bestFit="1" customWidth="1"/>
    <col min="1063" max="1071" width="9.140625" style="6"/>
    <col min="1072" max="1092" width="9.42578125" style="6" bestFit="1" customWidth="1"/>
    <col min="1093" max="1132" width="9.140625" style="6"/>
    <col min="1133" max="1154" width="9.85546875" style="6" bestFit="1" customWidth="1"/>
    <col min="1155" max="1163" width="9.140625" style="6"/>
    <col min="1164" max="1184" width="9.7109375" style="6" bestFit="1" customWidth="1"/>
    <col min="1185" max="1193" width="9.140625" style="6"/>
    <col min="1194" max="1215" width="9.42578125" style="6" bestFit="1" customWidth="1"/>
    <col min="1216" max="1224" width="9.140625" style="6"/>
    <col min="1225" max="1245" width="10" style="6" bestFit="1" customWidth="1"/>
    <col min="1246" max="1254" width="9.140625" style="6"/>
    <col min="1255" max="1276" width="9.7109375" style="6" bestFit="1" customWidth="1"/>
    <col min="1277" max="1316" width="9.140625" style="6"/>
    <col min="1317" max="1336" width="9.7109375" style="6" bestFit="1" customWidth="1"/>
    <col min="1337" max="1345" width="9.140625" style="6"/>
    <col min="1346" max="1367" width="9.85546875" style="6" bestFit="1" customWidth="1"/>
    <col min="1368" max="1376" width="9.140625" style="6"/>
    <col min="1377" max="1397" width="9.5703125" style="6" bestFit="1" customWidth="1"/>
    <col min="1398" max="1406" width="9.140625" style="6"/>
    <col min="1407" max="1428" width="10.140625" style="6" bestFit="1" customWidth="1"/>
    <col min="1429" max="1437" width="9.140625" style="6"/>
    <col min="1438" max="1458" width="9.42578125" style="6" bestFit="1" customWidth="1"/>
    <col min="1459" max="1498" width="9.140625" style="6"/>
    <col min="1499" max="1520" width="9.85546875" style="6" bestFit="1" customWidth="1"/>
    <col min="1521" max="1529" width="9.140625" style="6"/>
    <col min="1530" max="1550" width="9.7109375" style="6" bestFit="1" customWidth="1"/>
    <col min="1551" max="1559" width="9.140625" style="6"/>
    <col min="1560" max="1581" width="9.42578125" style="6" bestFit="1" customWidth="1"/>
    <col min="1582" max="1590" width="9.140625" style="6"/>
    <col min="1591" max="1611" width="10" style="6" bestFit="1" customWidth="1"/>
    <col min="1612" max="1620" width="9.140625" style="6"/>
    <col min="1621" max="1642" width="9.7109375" style="6" bestFit="1" customWidth="1"/>
    <col min="1643" max="1682" width="9.140625" style="6"/>
    <col min="1683" max="1701" width="9.7109375" style="6" bestFit="1" customWidth="1"/>
    <col min="1702" max="1710" width="9.140625" style="6"/>
    <col min="1711" max="1732" width="9.85546875" style="6" bestFit="1" customWidth="1"/>
    <col min="1733" max="1741" width="9.140625" style="6"/>
    <col min="1742" max="1762" width="9.5703125" style="6" bestFit="1" customWidth="1"/>
    <col min="1763" max="1771" width="9.140625" style="6"/>
    <col min="1772" max="1793" width="10.140625" style="6" bestFit="1" customWidth="1"/>
    <col min="1794" max="1802" width="9.140625" style="6"/>
    <col min="1803" max="1823" width="9.42578125" style="6" bestFit="1" customWidth="1"/>
    <col min="1824" max="1863" width="9.140625" style="6"/>
    <col min="1864" max="1885" width="9.85546875" style="6" bestFit="1" customWidth="1"/>
    <col min="1886" max="1894" width="9.140625" style="6"/>
    <col min="1895" max="1915" width="9.7109375" style="6" bestFit="1" customWidth="1"/>
    <col min="1916" max="1924" width="9.140625" style="6"/>
    <col min="1925" max="1946" width="9.42578125" style="6" bestFit="1" customWidth="1"/>
    <col min="1947" max="1955" width="9.140625" style="6"/>
    <col min="1956" max="1976" width="10" style="6" bestFit="1" customWidth="1"/>
    <col min="1977" max="1985" width="9.140625" style="6"/>
    <col min="1986" max="2007" width="9.7109375" style="6" bestFit="1" customWidth="1"/>
    <col min="2008" max="2047" width="9.140625" style="6"/>
    <col min="2048" max="2066" width="9.7109375" style="6" bestFit="1" customWidth="1"/>
    <col min="2067" max="2075" width="9.140625" style="6"/>
    <col min="2076" max="2097" width="9.85546875" style="6" bestFit="1" customWidth="1"/>
    <col min="2098" max="2106" width="9.140625" style="6"/>
    <col min="2107" max="2127" width="9.5703125" style="6" bestFit="1" customWidth="1"/>
    <col min="2128" max="2136" width="9.140625" style="6"/>
    <col min="2137" max="2158" width="10.140625" style="6" bestFit="1" customWidth="1"/>
    <col min="2159" max="2167" width="9.140625" style="6"/>
    <col min="2168" max="2188" width="9.42578125" style="6" bestFit="1" customWidth="1"/>
    <col min="2189" max="2228" width="9.140625" style="6"/>
    <col min="2229" max="2250" width="9.85546875" style="6" bestFit="1" customWidth="1"/>
    <col min="2251" max="2259" width="9.140625" style="6"/>
    <col min="2260" max="2280" width="9.7109375" style="6" bestFit="1" customWidth="1"/>
    <col min="2281" max="2289" width="9.140625" style="6"/>
    <col min="2290" max="2311" width="9.42578125" style="6" bestFit="1" customWidth="1"/>
    <col min="2312" max="2320" width="9.140625" style="6"/>
    <col min="2321" max="2341" width="10" style="6" bestFit="1" customWidth="1"/>
    <col min="2342" max="2350" width="9.140625" style="6"/>
    <col min="2351" max="2372" width="9.7109375" style="6" bestFit="1" customWidth="1"/>
    <col min="2373" max="2412" width="9.140625" style="6"/>
    <col min="2413" max="2431" width="9.7109375" style="6" bestFit="1" customWidth="1"/>
    <col min="2432" max="2440" width="9.140625" style="6"/>
    <col min="2441" max="2462" width="9.85546875" style="6" bestFit="1" customWidth="1"/>
    <col min="2463" max="2471" width="9.140625" style="6"/>
    <col min="2472" max="2492" width="9.5703125" style="6" bestFit="1" customWidth="1"/>
    <col min="2493" max="2501" width="9.140625" style="6"/>
    <col min="2502" max="2523" width="10.140625" style="6" bestFit="1" customWidth="1"/>
    <col min="2524" max="2532" width="9.140625" style="6"/>
    <col min="2533" max="2553" width="9.42578125" style="6" bestFit="1" customWidth="1"/>
    <col min="2554" max="2593" width="9.140625" style="6"/>
    <col min="2594" max="2615" width="9.85546875" style="6" bestFit="1" customWidth="1"/>
    <col min="2616" max="2624" width="9.140625" style="6"/>
    <col min="2625" max="2645" width="9.7109375" style="6" bestFit="1" customWidth="1"/>
    <col min="2646" max="2654" width="9.140625" style="6"/>
    <col min="2655" max="2676" width="9.42578125" style="6" bestFit="1" customWidth="1"/>
    <col min="2677" max="2685" width="9.140625" style="6"/>
    <col min="2686" max="2706" width="10" style="6" bestFit="1" customWidth="1"/>
    <col min="2707" max="2715" width="9.140625" style="6"/>
    <col min="2716" max="2737" width="9.7109375" style="6" bestFit="1" customWidth="1"/>
    <col min="2738" max="2777" width="9.140625" style="6"/>
    <col min="2778" max="2797" width="9.7109375" style="6" bestFit="1" customWidth="1"/>
    <col min="2798" max="2806" width="9.140625" style="6"/>
    <col min="2807" max="2828" width="9.85546875" style="6" bestFit="1" customWidth="1"/>
    <col min="2829" max="2837" width="9.140625" style="6"/>
    <col min="2838" max="2858" width="9.5703125" style="6" bestFit="1" customWidth="1"/>
    <col min="2859" max="2867" width="9.140625" style="6"/>
    <col min="2868" max="2889" width="10.140625" style="6" bestFit="1" customWidth="1"/>
    <col min="2890" max="2898" width="9.140625" style="6"/>
    <col min="2899" max="2919" width="9.42578125" style="6" bestFit="1" customWidth="1"/>
    <col min="2920" max="2959" width="9.140625" style="6"/>
    <col min="2960" max="2981" width="9.85546875" style="6" bestFit="1" customWidth="1"/>
    <col min="2982" max="2990" width="9.140625" style="6"/>
    <col min="2991" max="3011" width="9.7109375" style="6" bestFit="1" customWidth="1"/>
    <col min="3012" max="3020" width="9.140625" style="6"/>
    <col min="3021" max="3042" width="9.42578125" style="6" bestFit="1" customWidth="1"/>
    <col min="3043" max="3051" width="9.140625" style="6"/>
    <col min="3052" max="3072" width="10" style="6" bestFit="1" customWidth="1"/>
    <col min="3073" max="3081" width="9.140625" style="6"/>
    <col min="3082" max="3103" width="9.7109375" style="6" bestFit="1" customWidth="1"/>
    <col min="3104" max="3143" width="9.140625" style="6"/>
    <col min="3144" max="3162" width="9.7109375" style="6" bestFit="1" customWidth="1"/>
    <col min="3163" max="3171" width="9.140625" style="6"/>
    <col min="3172" max="3193" width="9.85546875" style="6" bestFit="1" customWidth="1"/>
    <col min="3194" max="3202" width="9.140625" style="6"/>
    <col min="3203" max="3223" width="9.5703125" style="6" bestFit="1" customWidth="1"/>
    <col min="3224" max="3232" width="9.140625" style="6"/>
    <col min="3233" max="3254" width="10.140625" style="6" bestFit="1" customWidth="1"/>
    <col min="3255" max="3263" width="9.140625" style="6"/>
    <col min="3264" max="3284" width="9.42578125" style="6" bestFit="1" customWidth="1"/>
    <col min="3285" max="3324" width="9.140625" style="6"/>
    <col min="3325" max="3346" width="9.85546875" style="6" bestFit="1" customWidth="1"/>
    <col min="3347" max="3355" width="9.140625" style="6"/>
    <col min="3356" max="3376" width="9.7109375" style="6" bestFit="1" customWidth="1"/>
    <col min="3377" max="3385" width="9.140625" style="6"/>
    <col min="3386" max="3407" width="9.42578125" style="6" bestFit="1" customWidth="1"/>
    <col min="3408" max="3416" width="9.140625" style="6"/>
    <col min="3417" max="3437" width="10" style="6" bestFit="1" customWidth="1"/>
    <col min="3438" max="3446" width="9.140625" style="6"/>
    <col min="3447" max="3468" width="9.7109375" style="6" bestFit="1" customWidth="1"/>
    <col min="3469" max="3508" width="9.140625" style="6"/>
    <col min="3509" max="3527" width="9.7109375" style="6" bestFit="1" customWidth="1"/>
    <col min="3528" max="3536" width="9.140625" style="6"/>
    <col min="3537" max="3558" width="9.85546875" style="6" bestFit="1" customWidth="1"/>
    <col min="3559" max="3567" width="9.140625" style="6"/>
    <col min="3568" max="3588" width="9.5703125" style="6" bestFit="1" customWidth="1"/>
    <col min="3589" max="3597" width="9.140625" style="6"/>
    <col min="3598" max="3619" width="10.140625" style="6" bestFit="1" customWidth="1"/>
    <col min="3620" max="3628" width="9.140625" style="6"/>
    <col min="3629" max="3649" width="9.42578125" style="6" bestFit="1" customWidth="1"/>
    <col min="3650" max="3689" width="9.140625" style="6"/>
    <col min="3690" max="3711" width="9.85546875" style="6" bestFit="1" customWidth="1"/>
    <col min="3712" max="3720" width="9.140625" style="6"/>
    <col min="3721" max="3741" width="9.7109375" style="6" bestFit="1" customWidth="1"/>
    <col min="3742" max="3750" width="9.140625" style="6"/>
    <col min="3751" max="3772" width="9.42578125" style="6" bestFit="1" customWidth="1"/>
    <col min="3773" max="3781" width="9.140625" style="6"/>
    <col min="3782" max="3802" width="10" style="6" bestFit="1" customWidth="1"/>
    <col min="3803" max="3811" width="9.140625" style="6"/>
    <col min="3812" max="3833" width="9.7109375" style="6" bestFit="1" customWidth="1"/>
    <col min="3834" max="3873" width="9.140625" style="6"/>
    <col min="3874" max="3892" width="9.7109375" style="6" bestFit="1" customWidth="1"/>
    <col min="3893" max="3901" width="9.140625" style="6"/>
    <col min="3902" max="3923" width="9.85546875" style="6" bestFit="1" customWidth="1"/>
    <col min="3924" max="3932" width="9.140625" style="6"/>
    <col min="3933" max="3953" width="9.5703125" style="6" bestFit="1" customWidth="1"/>
    <col min="3954" max="3962" width="9.140625" style="6"/>
    <col min="3963" max="3984" width="10.140625" style="6" bestFit="1" customWidth="1"/>
    <col min="3985" max="3993" width="9.140625" style="6"/>
    <col min="3994" max="4014" width="9.42578125" style="6" bestFit="1" customWidth="1"/>
    <col min="4015" max="4054" width="9.140625" style="6"/>
    <col min="4055" max="4076" width="9.85546875" style="6" bestFit="1" customWidth="1"/>
    <col min="4077" max="4085" width="9.140625" style="6"/>
    <col min="4086" max="4106" width="9.7109375" style="6" bestFit="1" customWidth="1"/>
    <col min="4107" max="4115" width="9.140625" style="6"/>
    <col min="4116" max="4137" width="9.42578125" style="6" bestFit="1" customWidth="1"/>
    <col min="4138" max="4146" width="9.140625" style="6"/>
    <col min="4147" max="4167" width="10" style="6" bestFit="1" customWidth="1"/>
    <col min="4168" max="4176" width="9.140625" style="6"/>
    <col min="4177" max="4198" width="9.7109375" style="6" bestFit="1" customWidth="1"/>
    <col min="4199" max="4238" width="9.140625" style="6"/>
    <col min="4239" max="4258" width="9.7109375" style="6" bestFit="1" customWidth="1"/>
    <col min="4259" max="4267" width="9.140625" style="6"/>
    <col min="4268" max="4289" width="9.85546875" style="6" bestFit="1" customWidth="1"/>
    <col min="4290" max="4298" width="9.140625" style="6"/>
    <col min="4299" max="4319" width="9.5703125" style="6" bestFit="1" customWidth="1"/>
    <col min="4320" max="4328" width="9.140625" style="6"/>
    <col min="4329" max="4350" width="10.140625" style="6" bestFit="1" customWidth="1"/>
    <col min="4351" max="4359" width="9.140625" style="6"/>
    <col min="4360" max="4380" width="9.42578125" style="6" bestFit="1" customWidth="1"/>
    <col min="4381" max="4420" width="9.140625" style="6"/>
    <col min="4421" max="4442" width="9.85546875" style="6" bestFit="1" customWidth="1"/>
    <col min="4443" max="4451" width="9.140625" style="6"/>
    <col min="4452" max="4472" width="9.7109375" style="6" bestFit="1" customWidth="1"/>
    <col min="4473" max="4481" width="9.140625" style="6"/>
    <col min="4482" max="4503" width="9.42578125" style="6" bestFit="1" customWidth="1"/>
    <col min="4504" max="4512" width="9.140625" style="6"/>
    <col min="4513" max="4533" width="10" style="6" bestFit="1" customWidth="1"/>
    <col min="4534" max="4542" width="9.140625" style="6"/>
    <col min="4543" max="4564" width="9.7109375" style="6" bestFit="1" customWidth="1"/>
    <col min="4565" max="4604" width="9.140625" style="6"/>
    <col min="4605" max="4623" width="9.7109375" style="6" bestFit="1" customWidth="1"/>
    <col min="4624" max="4632" width="9.140625" style="6"/>
    <col min="4633" max="4654" width="9.85546875" style="6" bestFit="1" customWidth="1"/>
    <col min="4655" max="4663" width="9.140625" style="6"/>
    <col min="4664" max="4684" width="9.5703125" style="6" bestFit="1" customWidth="1"/>
    <col min="4685" max="4693" width="9.140625" style="6"/>
    <col min="4694" max="4715" width="10.140625" style="6" bestFit="1" customWidth="1"/>
    <col min="4716" max="4724" width="9.140625" style="6"/>
    <col min="4725" max="4745" width="9.42578125" style="6" bestFit="1" customWidth="1"/>
    <col min="4746" max="4785" width="9.140625" style="6"/>
    <col min="4786" max="4807" width="9.85546875" style="6" bestFit="1" customWidth="1"/>
    <col min="4808" max="4816" width="9.140625" style="6"/>
    <col min="4817" max="4837" width="9.7109375" style="6" bestFit="1" customWidth="1"/>
    <col min="4838" max="4846" width="9.140625" style="6"/>
    <col min="4847" max="4868" width="9.42578125" style="6" bestFit="1" customWidth="1"/>
    <col min="4869" max="4877" width="9.140625" style="6"/>
    <col min="4878" max="4898" width="10" style="6" bestFit="1" customWidth="1"/>
    <col min="4899" max="4907" width="9.140625" style="6"/>
    <col min="4908" max="4929" width="9.7109375" style="6" bestFit="1" customWidth="1"/>
    <col min="4930" max="4969" width="9.140625" style="6"/>
    <col min="4970" max="4988" width="9.7109375" style="6" bestFit="1" customWidth="1"/>
    <col min="4989" max="4997" width="9.140625" style="6"/>
    <col min="4998" max="5019" width="9.85546875" style="6" bestFit="1" customWidth="1"/>
    <col min="5020" max="5028" width="9.140625" style="6"/>
    <col min="5029" max="5049" width="9.5703125" style="6" bestFit="1" customWidth="1"/>
    <col min="5050" max="5058" width="9.140625" style="6"/>
    <col min="5059" max="5080" width="10.140625" style="6" bestFit="1" customWidth="1"/>
    <col min="5081" max="5089" width="9.140625" style="6"/>
    <col min="5090" max="5110" width="9.42578125" style="6" bestFit="1" customWidth="1"/>
    <col min="5111" max="5150" width="9.140625" style="6"/>
    <col min="5151" max="5172" width="9.85546875" style="6" bestFit="1" customWidth="1"/>
    <col min="5173" max="5181" width="9.140625" style="6"/>
    <col min="5182" max="5202" width="9.7109375" style="6" bestFit="1" customWidth="1"/>
    <col min="5203" max="5211" width="9.140625" style="6"/>
    <col min="5212" max="5233" width="9.42578125" style="6" bestFit="1" customWidth="1"/>
    <col min="5234" max="5242" width="9.140625" style="6"/>
    <col min="5243" max="5263" width="10" style="6" bestFit="1" customWidth="1"/>
    <col min="5264" max="5272" width="9.140625" style="6"/>
    <col min="5273" max="5294" width="9.7109375" style="6" bestFit="1" customWidth="1"/>
    <col min="5295" max="5334" width="9.140625" style="6"/>
    <col min="5335" max="5353" width="9.7109375" style="6" bestFit="1" customWidth="1"/>
    <col min="5354" max="5362" width="9.140625" style="6"/>
    <col min="5363" max="5384" width="9.85546875" style="6" bestFit="1" customWidth="1"/>
    <col min="5385" max="5393" width="9.140625" style="6"/>
    <col min="5394" max="5414" width="9.5703125" style="6" bestFit="1" customWidth="1"/>
    <col min="5415" max="5423" width="9.140625" style="6"/>
    <col min="5424" max="5445" width="10.140625" style="6" bestFit="1" customWidth="1"/>
    <col min="5446" max="5454" width="9.140625" style="6"/>
    <col min="5455" max="5475" width="9.42578125" style="6" bestFit="1" customWidth="1"/>
    <col min="5476" max="5515" width="9.140625" style="6"/>
    <col min="5516" max="5537" width="9.85546875" style="6" bestFit="1" customWidth="1"/>
    <col min="5538" max="5546" width="9.140625" style="6"/>
    <col min="5547" max="5567" width="9.7109375" style="6" bestFit="1" customWidth="1"/>
    <col min="5568" max="5576" width="9.140625" style="6"/>
    <col min="5577" max="5598" width="9.42578125" style="6" bestFit="1" customWidth="1"/>
    <col min="5599" max="5607" width="9.140625" style="6"/>
    <col min="5608" max="5628" width="10" style="6" bestFit="1" customWidth="1"/>
    <col min="5629" max="5637" width="9.140625" style="6"/>
    <col min="5638" max="5659" width="9.7109375" style="6" bestFit="1" customWidth="1"/>
    <col min="5660" max="5699" width="9.140625" style="6"/>
    <col min="5700" max="5719" width="9.7109375" style="6" bestFit="1" customWidth="1"/>
    <col min="5720" max="5728" width="9.140625" style="6"/>
    <col min="5729" max="5750" width="9.85546875" style="6" bestFit="1" customWidth="1"/>
    <col min="5751" max="5759" width="9.140625" style="6"/>
    <col min="5760" max="5780" width="9.5703125" style="6" bestFit="1" customWidth="1"/>
    <col min="5781" max="5789" width="9.140625" style="6"/>
    <col min="5790" max="5811" width="10.140625" style="6" bestFit="1" customWidth="1"/>
    <col min="5812" max="5820" width="9.140625" style="6"/>
    <col min="5821" max="5841" width="9.42578125" style="6" bestFit="1" customWidth="1"/>
    <col min="5842" max="5881" width="9.140625" style="6"/>
    <col min="5882" max="5903" width="9.85546875" style="6" bestFit="1" customWidth="1"/>
    <col min="5904" max="5912" width="9.140625" style="6"/>
    <col min="5913" max="5933" width="9.7109375" style="6" bestFit="1" customWidth="1"/>
    <col min="5934" max="5942" width="9.140625" style="6"/>
    <col min="5943" max="5964" width="9.42578125" style="6" bestFit="1" customWidth="1"/>
    <col min="5965" max="5973" width="9.140625" style="6"/>
    <col min="5974" max="5994" width="10" style="6" bestFit="1" customWidth="1"/>
    <col min="5995" max="6003" width="9.140625" style="6"/>
    <col min="6004" max="6025" width="9.7109375" style="6" bestFit="1" customWidth="1"/>
    <col min="6026" max="6065" width="9.140625" style="6"/>
    <col min="6066" max="6084" width="9.7109375" style="6" bestFit="1" customWidth="1"/>
    <col min="6085" max="6093" width="9.140625" style="6"/>
    <col min="6094" max="6115" width="9.85546875" style="6" bestFit="1" customWidth="1"/>
    <col min="6116" max="6124" width="9.140625" style="6"/>
    <col min="6125" max="6145" width="9.5703125" style="6" bestFit="1" customWidth="1"/>
    <col min="6146" max="6154" width="9.140625" style="6"/>
    <col min="6155" max="6176" width="10.140625" style="6" bestFit="1" customWidth="1"/>
    <col min="6177" max="6185" width="9.140625" style="6"/>
    <col min="6186" max="6206" width="9.42578125" style="6" bestFit="1" customWidth="1"/>
    <col min="6207" max="6246" width="9.140625" style="6"/>
    <col min="6247" max="6268" width="9.85546875" style="6" bestFit="1" customWidth="1"/>
    <col min="6269" max="6277" width="9.140625" style="6"/>
    <col min="6278" max="6298" width="9.7109375" style="6" bestFit="1" customWidth="1"/>
    <col min="6299" max="6307" width="9.140625" style="6"/>
    <col min="6308" max="6329" width="9.42578125" style="6" bestFit="1" customWidth="1"/>
    <col min="6330" max="6338" width="9.140625" style="6"/>
    <col min="6339" max="6359" width="10" style="6" bestFit="1" customWidth="1"/>
    <col min="6360" max="6368" width="9.140625" style="6"/>
    <col min="6369" max="6390" width="9.7109375" style="6" bestFit="1" customWidth="1"/>
    <col min="6391" max="6430" width="9.140625" style="6"/>
    <col min="6431" max="6449" width="9.7109375" style="6" bestFit="1" customWidth="1"/>
    <col min="6450" max="6458" width="9.140625" style="6"/>
    <col min="6459" max="6480" width="9.85546875" style="6" bestFit="1" customWidth="1"/>
    <col min="6481" max="6489" width="9.140625" style="6"/>
    <col min="6490" max="6510" width="9.5703125" style="6" bestFit="1" customWidth="1"/>
    <col min="6511" max="6519" width="9.140625" style="6"/>
    <col min="6520" max="6541" width="10.140625" style="6" bestFit="1" customWidth="1"/>
    <col min="6542" max="6550" width="9.140625" style="6"/>
    <col min="6551" max="6571" width="9.42578125" style="6" bestFit="1" customWidth="1"/>
    <col min="6572" max="6611" width="9.140625" style="6"/>
    <col min="6612" max="6633" width="9.85546875" style="6" bestFit="1" customWidth="1"/>
    <col min="6634" max="6642" width="9.140625" style="6"/>
    <col min="6643" max="6663" width="9.7109375" style="6" bestFit="1" customWidth="1"/>
    <col min="6664" max="6672" width="9.140625" style="6"/>
    <col min="6673" max="6694" width="9.42578125" style="6" bestFit="1" customWidth="1"/>
    <col min="6695" max="6703" width="9.140625" style="6"/>
    <col min="6704" max="6724" width="10" style="6" bestFit="1" customWidth="1"/>
    <col min="6725" max="6733" width="9.140625" style="6"/>
    <col min="6734" max="6755" width="9.7109375" style="6" bestFit="1" customWidth="1"/>
    <col min="6756" max="6795" width="9.140625" style="6"/>
    <col min="6796" max="6814" width="9.7109375" style="6" bestFit="1" customWidth="1"/>
    <col min="6815" max="6823" width="9.140625" style="6"/>
    <col min="6824" max="6845" width="9.85546875" style="6" bestFit="1" customWidth="1"/>
    <col min="6846" max="6854" width="9.140625" style="6"/>
    <col min="6855" max="6875" width="9.5703125" style="6" bestFit="1" customWidth="1"/>
    <col min="6876" max="6884" width="9.140625" style="6"/>
    <col min="6885" max="6906" width="10.140625" style="6" bestFit="1" customWidth="1"/>
    <col min="6907" max="6915" width="9.140625" style="6"/>
    <col min="6916" max="6936" width="9.42578125" style="6" bestFit="1" customWidth="1"/>
    <col min="6937" max="6976" width="9.140625" style="6"/>
    <col min="6977" max="6998" width="9.85546875" style="6" bestFit="1" customWidth="1"/>
    <col min="6999" max="7007" width="9.140625" style="6"/>
    <col min="7008" max="7028" width="9.7109375" style="6" bestFit="1" customWidth="1"/>
    <col min="7029" max="7037" width="9.140625" style="6"/>
    <col min="7038" max="7059" width="9.42578125" style="6" bestFit="1" customWidth="1"/>
    <col min="7060" max="7068" width="9.140625" style="6"/>
    <col min="7069" max="7089" width="10" style="6" bestFit="1" customWidth="1"/>
    <col min="7090" max="7098" width="9.140625" style="6"/>
    <col min="7099" max="7120" width="9.7109375" style="6" bestFit="1" customWidth="1"/>
    <col min="7121" max="7160" width="9.140625" style="6"/>
    <col min="7161" max="7180" width="9.7109375" style="6" bestFit="1" customWidth="1"/>
    <col min="7181" max="7189" width="9.140625" style="6"/>
    <col min="7190" max="7211" width="9.85546875" style="6" bestFit="1" customWidth="1"/>
    <col min="7212" max="7220" width="9.140625" style="6"/>
    <col min="7221" max="7241" width="9.5703125" style="6" bestFit="1" customWidth="1"/>
    <col min="7242" max="7250" width="9.140625" style="6"/>
    <col min="7251" max="7272" width="10.140625" style="6" bestFit="1" customWidth="1"/>
    <col min="7273" max="7281" width="9.140625" style="6"/>
    <col min="7282" max="7302" width="9.42578125" style="6" bestFit="1" customWidth="1"/>
    <col min="7303" max="7342" width="9.140625" style="6"/>
    <col min="7343" max="7364" width="9.85546875" style="6" bestFit="1" customWidth="1"/>
    <col min="7365" max="7373" width="9.140625" style="6"/>
    <col min="7374" max="7394" width="9.7109375" style="6" bestFit="1" customWidth="1"/>
    <col min="7395" max="7403" width="9.140625" style="6"/>
    <col min="7404" max="7425" width="9.42578125" style="6" bestFit="1" customWidth="1"/>
    <col min="7426" max="7434" width="9.140625" style="6"/>
    <col min="7435" max="7455" width="10" style="6" bestFit="1" customWidth="1"/>
    <col min="7456" max="7464" width="9.140625" style="6"/>
    <col min="7465" max="7486" width="9.7109375" style="6" bestFit="1" customWidth="1"/>
    <col min="7487" max="7526" width="9.140625" style="6"/>
    <col min="7527" max="7545" width="9.7109375" style="6" bestFit="1" customWidth="1"/>
    <col min="7546" max="7554" width="9.140625" style="6"/>
    <col min="7555" max="7576" width="9.85546875" style="6" bestFit="1" customWidth="1"/>
    <col min="7577" max="7585" width="9.140625" style="6"/>
    <col min="7586" max="7606" width="9.5703125" style="6" bestFit="1" customWidth="1"/>
    <col min="7607" max="7615" width="9.140625" style="6"/>
    <col min="7616" max="7637" width="10.140625" style="6" bestFit="1" customWidth="1"/>
    <col min="7638" max="7646" width="9.140625" style="6"/>
    <col min="7647" max="7667" width="9.42578125" style="6" bestFit="1" customWidth="1"/>
    <col min="7668" max="7707" width="9.140625" style="6"/>
    <col min="7708" max="7729" width="9.85546875" style="6" bestFit="1" customWidth="1"/>
    <col min="7730" max="7738" width="9.140625" style="6"/>
    <col min="7739" max="7759" width="9.7109375" style="6" bestFit="1" customWidth="1"/>
    <col min="7760" max="7768" width="9.140625" style="6"/>
    <col min="7769" max="7790" width="9.42578125" style="6" bestFit="1" customWidth="1"/>
    <col min="7791" max="7799" width="9.140625" style="6"/>
    <col min="7800" max="7820" width="10" style="6" bestFit="1" customWidth="1"/>
    <col min="7821" max="7829" width="9.140625" style="6"/>
    <col min="7830" max="7851" width="9.7109375" style="6" bestFit="1" customWidth="1"/>
    <col min="7852" max="7891" width="9.140625" style="6"/>
    <col min="7892" max="7910" width="9.7109375" style="6" bestFit="1" customWidth="1"/>
    <col min="7911" max="7919" width="9.140625" style="6"/>
    <col min="7920" max="7941" width="9.85546875" style="6" bestFit="1" customWidth="1"/>
    <col min="7942" max="7950" width="9.140625" style="6"/>
    <col min="7951" max="7971" width="9.5703125" style="6" bestFit="1" customWidth="1"/>
    <col min="7972" max="7980" width="9.140625" style="6"/>
    <col min="7981" max="8002" width="10.140625" style="6" bestFit="1" customWidth="1"/>
    <col min="8003" max="8011" width="9.140625" style="6"/>
    <col min="8012" max="8032" width="9.42578125" style="6" bestFit="1" customWidth="1"/>
    <col min="8033" max="8072" width="9.140625" style="6"/>
    <col min="8073" max="8094" width="9.85546875" style="6" bestFit="1" customWidth="1"/>
    <col min="8095" max="8103" width="9.140625" style="6"/>
    <col min="8104" max="8124" width="9.7109375" style="6" bestFit="1" customWidth="1"/>
    <col min="8125" max="8133" width="9.140625" style="6"/>
    <col min="8134" max="8155" width="9.42578125" style="6" bestFit="1" customWidth="1"/>
    <col min="8156" max="8164" width="9.140625" style="6"/>
    <col min="8165" max="8185" width="10" style="6" bestFit="1" customWidth="1"/>
    <col min="8186" max="8194" width="9.140625" style="6"/>
    <col min="8195" max="8216" width="9.7109375" style="6" bestFit="1" customWidth="1"/>
    <col min="8217" max="8256" width="9.140625" style="6"/>
    <col min="8257" max="8275" width="9.7109375" style="6" bestFit="1" customWidth="1"/>
    <col min="8276" max="8284" width="9.140625" style="6"/>
    <col min="8285" max="8306" width="9.85546875" style="6" bestFit="1" customWidth="1"/>
    <col min="8307" max="8315" width="9.140625" style="6"/>
    <col min="8316" max="8336" width="9.5703125" style="6" bestFit="1" customWidth="1"/>
    <col min="8337" max="8345" width="9.140625" style="6"/>
    <col min="8346" max="8367" width="10.140625" style="6" bestFit="1" customWidth="1"/>
    <col min="8368" max="8376" width="9.140625" style="6"/>
    <col min="8377" max="8397" width="9.42578125" style="6" bestFit="1" customWidth="1"/>
    <col min="8398" max="8437" width="9.140625" style="6"/>
    <col min="8438" max="8459" width="9.85546875" style="6" bestFit="1" customWidth="1"/>
    <col min="8460" max="8468" width="9.140625" style="6"/>
    <col min="8469" max="8489" width="9.7109375" style="6" bestFit="1" customWidth="1"/>
    <col min="8490" max="8498" width="9.140625" style="6"/>
    <col min="8499" max="8520" width="9.42578125" style="6" bestFit="1" customWidth="1"/>
    <col min="8521" max="8529" width="9.140625" style="6"/>
    <col min="8530" max="8550" width="10" style="6" bestFit="1" customWidth="1"/>
    <col min="8551" max="8559" width="9.140625" style="6"/>
    <col min="8560" max="8581" width="9.7109375" style="6" bestFit="1" customWidth="1"/>
    <col min="8582" max="8621" width="9.140625" style="6"/>
    <col min="8622" max="8641" width="9.7109375" style="6" bestFit="1" customWidth="1"/>
    <col min="8642" max="8650" width="9.140625" style="6"/>
    <col min="8651" max="8672" width="9.85546875" style="6" bestFit="1" customWidth="1"/>
    <col min="8673" max="8681" width="9.140625" style="6"/>
    <col min="8682" max="8702" width="9.5703125" style="6" bestFit="1" customWidth="1"/>
    <col min="8703" max="8711" width="9.140625" style="6"/>
    <col min="8712" max="8733" width="10.140625" style="6" bestFit="1" customWidth="1"/>
    <col min="8734" max="8742" width="9.140625" style="6"/>
    <col min="8743" max="8763" width="9.42578125" style="6" bestFit="1" customWidth="1"/>
    <col min="8764" max="8803" width="9.140625" style="6"/>
    <col min="8804" max="8825" width="9.85546875" style="6" bestFit="1" customWidth="1"/>
    <col min="8826" max="8834" width="9.140625" style="6"/>
    <col min="8835" max="8855" width="9.7109375" style="6" bestFit="1" customWidth="1"/>
    <col min="8856" max="8864" width="9.140625" style="6"/>
    <col min="8865" max="8886" width="9.42578125" style="6" bestFit="1" customWidth="1"/>
    <col min="8887" max="8895" width="9.140625" style="6"/>
    <col min="8896" max="8916" width="10" style="6" bestFit="1" customWidth="1"/>
    <col min="8917" max="8925" width="9.140625" style="6"/>
    <col min="8926" max="8947" width="9.7109375" style="6" bestFit="1" customWidth="1"/>
    <col min="8948" max="8987" width="9.140625" style="6"/>
    <col min="8988" max="9006" width="9.7109375" style="6" bestFit="1" customWidth="1"/>
    <col min="9007" max="9015" width="9.140625" style="6"/>
    <col min="9016" max="9037" width="9.85546875" style="6" bestFit="1" customWidth="1"/>
    <col min="9038" max="9046" width="9.140625" style="6"/>
    <col min="9047" max="9067" width="9.5703125" style="6" bestFit="1" customWidth="1"/>
    <col min="9068" max="9076" width="9.140625" style="6"/>
    <col min="9077" max="9098" width="10.140625" style="6" bestFit="1" customWidth="1"/>
    <col min="9099" max="9107" width="9.140625" style="6"/>
    <col min="9108" max="9128" width="9.42578125" style="6" bestFit="1" customWidth="1"/>
    <col min="9129" max="9168" width="9.140625" style="6"/>
    <col min="9169" max="9190" width="9.85546875" style="6" bestFit="1" customWidth="1"/>
    <col min="9191" max="9199" width="9.140625" style="6"/>
    <col min="9200" max="9220" width="9.7109375" style="6" bestFit="1" customWidth="1"/>
    <col min="9221" max="9229" width="9.140625" style="6"/>
    <col min="9230" max="9251" width="9.42578125" style="6" bestFit="1" customWidth="1"/>
    <col min="9252" max="9260" width="9.140625" style="6"/>
    <col min="9261" max="9281" width="10" style="6" bestFit="1" customWidth="1"/>
    <col min="9282" max="9290" width="9.140625" style="6"/>
    <col min="9291" max="9312" width="9.7109375" style="6" bestFit="1" customWidth="1"/>
    <col min="9313" max="9352" width="9.140625" style="6"/>
    <col min="9353" max="9371" width="9.7109375" style="6" bestFit="1" customWidth="1"/>
    <col min="9372" max="9380" width="9.140625" style="6"/>
    <col min="9381" max="9402" width="9.85546875" style="6" bestFit="1" customWidth="1"/>
    <col min="9403" max="9411" width="9.140625" style="6"/>
    <col min="9412" max="9432" width="9.5703125" style="6" bestFit="1" customWidth="1"/>
    <col min="9433" max="9441" width="9.140625" style="6"/>
    <col min="9442" max="9463" width="10.140625" style="6" bestFit="1" customWidth="1"/>
    <col min="9464" max="9472" width="9.140625" style="6"/>
    <col min="9473" max="9493" width="9.42578125" style="6" bestFit="1" customWidth="1"/>
    <col min="9494" max="9533" width="9.140625" style="6"/>
    <col min="9534" max="9555" width="9.85546875" style="6" bestFit="1" customWidth="1"/>
    <col min="9556" max="9564" width="9.140625" style="6"/>
    <col min="9565" max="9585" width="9.7109375" style="6" bestFit="1" customWidth="1"/>
    <col min="9586" max="9594" width="9.140625" style="6"/>
    <col min="9595" max="9616" width="9.42578125" style="6" bestFit="1" customWidth="1"/>
    <col min="9617" max="9625" width="9.140625" style="6"/>
    <col min="9626" max="9646" width="10" style="6" bestFit="1" customWidth="1"/>
    <col min="9647" max="9655" width="9.140625" style="6"/>
    <col min="9656" max="9677" width="9.7109375" style="6" bestFit="1" customWidth="1"/>
    <col min="9678" max="9717" width="9.140625" style="6"/>
    <col min="9718" max="9736" width="9.7109375" style="6" bestFit="1" customWidth="1"/>
    <col min="9737" max="9745" width="9.140625" style="6"/>
    <col min="9746" max="9767" width="9.85546875" style="6" bestFit="1" customWidth="1"/>
    <col min="9768" max="9776" width="9.140625" style="6"/>
    <col min="9777" max="9797" width="9.5703125" style="6" bestFit="1" customWidth="1"/>
    <col min="9798" max="9806" width="9.140625" style="6"/>
    <col min="9807" max="9828" width="10.140625" style="6" bestFit="1" customWidth="1"/>
    <col min="9829" max="9837" width="9.140625" style="6"/>
    <col min="9838" max="9858" width="9.42578125" style="6" bestFit="1" customWidth="1"/>
    <col min="9859" max="9898" width="9.140625" style="6"/>
    <col min="9899" max="9920" width="9.85546875" style="6" bestFit="1" customWidth="1"/>
    <col min="9921" max="9929" width="9.140625" style="6"/>
    <col min="9930" max="9950" width="9.7109375" style="6" bestFit="1" customWidth="1"/>
    <col min="9951" max="9959" width="9.140625" style="6"/>
    <col min="9960" max="9981" width="9.42578125" style="6" bestFit="1" customWidth="1"/>
    <col min="9982" max="9990" width="9.140625" style="6"/>
    <col min="9991" max="10011" width="10" style="6" bestFit="1" customWidth="1"/>
    <col min="10012" max="10020" width="9.140625" style="6"/>
    <col min="10021" max="10042" width="9.7109375" style="6" bestFit="1" customWidth="1"/>
    <col min="10043" max="10082" width="9.140625" style="6"/>
    <col min="10083" max="10102" width="9.7109375" style="6" bestFit="1" customWidth="1"/>
    <col min="10103" max="10111" width="9.140625" style="6"/>
    <col min="10112" max="10133" width="9.85546875" style="6" bestFit="1" customWidth="1"/>
    <col min="10134" max="10142" width="9.140625" style="6"/>
    <col min="10143" max="10163" width="9.5703125" style="6" bestFit="1" customWidth="1"/>
    <col min="10164" max="10172" width="9.140625" style="6"/>
    <col min="10173" max="10194" width="10.140625" style="6" bestFit="1" customWidth="1"/>
    <col min="10195" max="10203" width="9.140625" style="6"/>
    <col min="10204" max="10224" width="9.42578125" style="6" bestFit="1" customWidth="1"/>
    <col min="10225" max="10264" width="9.140625" style="6"/>
    <col min="10265" max="10286" width="9.85546875" style="6" bestFit="1" customWidth="1"/>
    <col min="10287" max="10295" width="9.140625" style="6"/>
    <col min="10296" max="10316" width="9.7109375" style="6" bestFit="1" customWidth="1"/>
    <col min="10317" max="10325" width="9.140625" style="6"/>
    <col min="10326" max="10347" width="9.42578125" style="6" bestFit="1" customWidth="1"/>
    <col min="10348" max="10356" width="9.140625" style="6"/>
    <col min="10357" max="10377" width="10" style="6" bestFit="1" customWidth="1"/>
    <col min="10378" max="10386" width="9.140625" style="6"/>
    <col min="10387" max="10408" width="9.7109375" style="6" bestFit="1" customWidth="1"/>
    <col min="10409" max="10448" width="9.140625" style="6"/>
    <col min="10449" max="10467" width="9.7109375" style="6" bestFit="1" customWidth="1"/>
    <col min="10468" max="10476" width="9.140625" style="6"/>
    <col min="10477" max="10498" width="9.85546875" style="6" bestFit="1" customWidth="1"/>
    <col min="10499" max="10507" width="9.140625" style="6"/>
    <col min="10508" max="10528" width="9.5703125" style="6" bestFit="1" customWidth="1"/>
    <col min="10529" max="10537" width="9.140625" style="6"/>
    <col min="10538" max="10559" width="10.140625" style="6" bestFit="1" customWidth="1"/>
    <col min="10560" max="10568" width="9.140625" style="6"/>
    <col min="10569" max="10589" width="9.42578125" style="6" bestFit="1" customWidth="1"/>
    <col min="10590" max="10629" width="9.140625" style="6"/>
    <col min="10630" max="10651" width="9.85546875" style="6" bestFit="1" customWidth="1"/>
    <col min="10652" max="10660" width="9.140625" style="6"/>
    <col min="10661" max="10681" width="9.7109375" style="6" bestFit="1" customWidth="1"/>
    <col min="10682" max="10690" width="9.140625" style="6"/>
    <col min="10691" max="10712" width="9.42578125" style="6" bestFit="1" customWidth="1"/>
    <col min="10713" max="10721" width="9.140625" style="6"/>
    <col min="10722" max="10742" width="10" style="6" bestFit="1" customWidth="1"/>
    <col min="10743" max="10751" width="9.140625" style="6"/>
    <col min="10752" max="10773" width="9.7109375" style="6" bestFit="1" customWidth="1"/>
    <col min="10774" max="10813" width="9.140625" style="6"/>
    <col min="10814" max="10832" width="9.7109375" style="6" bestFit="1" customWidth="1"/>
    <col min="10833" max="10841" width="9.140625" style="6"/>
    <col min="10842" max="10863" width="9.85546875" style="6" bestFit="1" customWidth="1"/>
    <col min="10864" max="10872" width="9.140625" style="6"/>
    <col min="10873" max="10893" width="9.5703125" style="6" bestFit="1" customWidth="1"/>
    <col min="10894" max="10902" width="9.140625" style="6"/>
    <col min="10903" max="10924" width="10.140625" style="6" bestFit="1" customWidth="1"/>
    <col min="10925" max="10933" width="9.140625" style="6"/>
    <col min="10934" max="10954" width="9.42578125" style="6" bestFit="1" customWidth="1"/>
    <col min="10955" max="10994" width="9.140625" style="6"/>
    <col min="10995" max="11016" width="9.85546875" style="6" bestFit="1" customWidth="1"/>
    <col min="11017" max="11025" width="9.140625" style="6"/>
    <col min="11026" max="11046" width="9.7109375" style="6" bestFit="1" customWidth="1"/>
    <col min="11047" max="11055" width="9.140625" style="6"/>
    <col min="11056" max="11077" width="9.42578125" style="6" bestFit="1" customWidth="1"/>
    <col min="11078" max="11086" width="9.140625" style="6"/>
    <col min="11087" max="11107" width="10" style="6" bestFit="1" customWidth="1"/>
    <col min="11108" max="11116" width="9.140625" style="6"/>
    <col min="11117" max="11138" width="9.7109375" style="6" bestFit="1" customWidth="1"/>
    <col min="11139" max="11178" width="9.140625" style="6"/>
    <col min="11179" max="11197" width="9.7109375" style="6" bestFit="1" customWidth="1"/>
    <col min="11198" max="11206" width="9.140625" style="6"/>
    <col min="11207" max="11228" width="9.85546875" style="6" bestFit="1" customWidth="1"/>
    <col min="11229" max="11237" width="9.140625" style="6"/>
    <col min="11238" max="11258" width="9.5703125" style="6" bestFit="1" customWidth="1"/>
    <col min="11259" max="11267" width="9.140625" style="6"/>
    <col min="11268" max="11289" width="10.140625" style="6" bestFit="1" customWidth="1"/>
    <col min="11290" max="11298" width="9.140625" style="6"/>
    <col min="11299" max="11319" width="9.42578125" style="6" bestFit="1" customWidth="1"/>
    <col min="11320" max="11359" width="9.140625" style="6"/>
    <col min="11360" max="11381" width="9.85546875" style="6" bestFit="1" customWidth="1"/>
    <col min="11382" max="11390" width="9.140625" style="6"/>
    <col min="11391" max="11411" width="9.7109375" style="6" bestFit="1" customWidth="1"/>
    <col min="11412" max="11420" width="9.140625" style="6"/>
    <col min="11421" max="11442" width="9.42578125" style="6" bestFit="1" customWidth="1"/>
    <col min="11443" max="11451" width="9.140625" style="6"/>
    <col min="11452" max="11472" width="10" style="6" bestFit="1" customWidth="1"/>
    <col min="11473" max="11481" width="9.140625" style="6"/>
    <col min="11482" max="11503" width="9.7109375" style="6" bestFit="1" customWidth="1"/>
    <col min="11504" max="11543" width="9.140625" style="6"/>
    <col min="11544" max="11563" width="9.7109375" style="6" bestFit="1" customWidth="1"/>
    <col min="11564" max="11572" width="9.140625" style="6"/>
    <col min="11573" max="11594" width="9.85546875" style="6" bestFit="1" customWidth="1"/>
    <col min="11595" max="11603" width="9.140625" style="6"/>
    <col min="11604" max="11624" width="9.5703125" style="6" bestFit="1" customWidth="1"/>
    <col min="11625" max="11633" width="9.140625" style="6"/>
    <col min="11634" max="11655" width="10.140625" style="6" bestFit="1" customWidth="1"/>
    <col min="11656" max="11664" width="9.140625" style="6"/>
    <col min="11665" max="11685" width="9.42578125" style="6" bestFit="1" customWidth="1"/>
    <col min="11686" max="11725" width="9.140625" style="6"/>
    <col min="11726" max="11747" width="9.85546875" style="6" bestFit="1" customWidth="1"/>
    <col min="11748" max="11756" width="9.140625" style="6"/>
    <col min="11757" max="11777" width="9.7109375" style="6" bestFit="1" customWidth="1"/>
    <col min="11778" max="11786" width="9.140625" style="6"/>
    <col min="11787" max="11808" width="9.42578125" style="6" bestFit="1" customWidth="1"/>
    <col min="11809" max="11817" width="9.140625" style="6"/>
    <col min="11818" max="11838" width="10" style="6" bestFit="1" customWidth="1"/>
    <col min="11839" max="11847" width="9.140625" style="6"/>
    <col min="11848" max="11869" width="9.7109375" style="6" bestFit="1" customWidth="1"/>
    <col min="11870" max="11909" width="9.140625" style="6"/>
    <col min="11910" max="11928" width="9.7109375" style="6" bestFit="1" customWidth="1"/>
    <col min="11929" max="11937" width="9.140625" style="6"/>
    <col min="11938" max="11959" width="9.85546875" style="6" bestFit="1" customWidth="1"/>
    <col min="11960" max="11968" width="9.140625" style="6"/>
    <col min="11969" max="11989" width="9.5703125" style="6" bestFit="1" customWidth="1"/>
    <col min="11990" max="11998" width="9.140625" style="6"/>
    <col min="11999" max="12020" width="10.140625" style="6" bestFit="1" customWidth="1"/>
    <col min="12021" max="12029" width="9.140625" style="6"/>
    <col min="12030" max="12050" width="9.42578125" style="6" bestFit="1" customWidth="1"/>
    <col min="12051" max="12090" width="9.140625" style="6"/>
    <col min="12091" max="12112" width="9.85546875" style="6" bestFit="1" customWidth="1"/>
    <col min="12113" max="12121" width="9.140625" style="6"/>
    <col min="12122" max="12142" width="9.7109375" style="6" bestFit="1" customWidth="1"/>
    <col min="12143" max="12151" width="9.140625" style="6"/>
    <col min="12152" max="12173" width="9.42578125" style="6" bestFit="1" customWidth="1"/>
    <col min="12174" max="12182" width="9.140625" style="6"/>
    <col min="12183" max="12203" width="10" style="6" bestFit="1" customWidth="1"/>
    <col min="12204" max="12212" width="9.140625" style="6"/>
    <col min="12213" max="12234" width="9.7109375" style="6" bestFit="1" customWidth="1"/>
    <col min="12235" max="12274" width="9.140625" style="6"/>
    <col min="12275" max="12293" width="9.7109375" style="6" bestFit="1" customWidth="1"/>
    <col min="12294" max="12302" width="9.140625" style="6"/>
    <col min="12303" max="12324" width="9.85546875" style="6" bestFit="1" customWidth="1"/>
    <col min="12325" max="12333" width="9.140625" style="6"/>
    <col min="12334" max="12354" width="9.5703125" style="6" bestFit="1" customWidth="1"/>
    <col min="12355" max="12363" width="9.140625" style="6"/>
    <col min="12364" max="12385" width="10.140625" style="6" bestFit="1" customWidth="1"/>
    <col min="12386" max="12394" width="9.140625" style="6"/>
    <col min="12395" max="12415" width="9.42578125" style="6" bestFit="1" customWidth="1"/>
    <col min="12416" max="12455" width="9.140625" style="6"/>
    <col min="12456" max="12477" width="9.85546875" style="6" bestFit="1" customWidth="1"/>
    <col min="12478" max="12486" width="9.140625" style="6"/>
    <col min="12487" max="12507" width="9.7109375" style="6" bestFit="1" customWidth="1"/>
    <col min="12508" max="12516" width="9.140625" style="6"/>
    <col min="12517" max="12538" width="9.42578125" style="6" bestFit="1" customWidth="1"/>
    <col min="12539" max="12547" width="9.140625" style="6"/>
    <col min="12548" max="12568" width="10" style="6" bestFit="1" customWidth="1"/>
    <col min="12569" max="12577" width="9.140625" style="6"/>
    <col min="12578" max="12599" width="9.7109375" style="6" bestFit="1" customWidth="1"/>
    <col min="12600" max="12639" width="9.140625" style="6"/>
    <col min="12640" max="12658" width="9.7109375" style="6" bestFit="1" customWidth="1"/>
    <col min="12659" max="12667" width="9.140625" style="6"/>
    <col min="12668" max="12689" width="9.85546875" style="6" bestFit="1" customWidth="1"/>
    <col min="12690" max="12698" width="9.140625" style="6"/>
    <col min="12699" max="12719" width="9.5703125" style="6" bestFit="1" customWidth="1"/>
    <col min="12720" max="12728" width="9.140625" style="6"/>
    <col min="12729" max="12750" width="10.140625" style="6" bestFit="1" customWidth="1"/>
    <col min="12751" max="12759" width="9.140625" style="6"/>
    <col min="12760" max="12780" width="9.42578125" style="6" bestFit="1" customWidth="1"/>
    <col min="12781" max="12820" width="9.140625" style="6"/>
    <col min="12821" max="12842" width="9.85546875" style="6" bestFit="1" customWidth="1"/>
    <col min="12843" max="12851" width="9.140625" style="6"/>
    <col min="12852" max="12872" width="9.7109375" style="6" bestFit="1" customWidth="1"/>
    <col min="12873" max="12881" width="9.140625" style="6"/>
    <col min="12882" max="12903" width="9.42578125" style="6" bestFit="1" customWidth="1"/>
    <col min="12904" max="12912" width="9.140625" style="6"/>
    <col min="12913" max="12933" width="10" style="6" bestFit="1" customWidth="1"/>
    <col min="12934" max="12942" width="9.140625" style="6"/>
    <col min="12943" max="12964" width="9.7109375" style="6" bestFit="1" customWidth="1"/>
    <col min="12965" max="13004" width="9.140625" style="6"/>
    <col min="13005" max="13024" width="9.7109375" style="6" bestFit="1" customWidth="1"/>
    <col min="13025" max="13033" width="9.140625" style="6"/>
    <col min="13034" max="13055" width="9.85546875" style="6" bestFit="1" customWidth="1"/>
    <col min="13056" max="13064" width="9.140625" style="6"/>
    <col min="13065" max="13085" width="9.5703125" style="6" bestFit="1" customWidth="1"/>
    <col min="13086" max="13094" width="9.140625" style="6"/>
    <col min="13095" max="13116" width="10.140625" style="6" bestFit="1" customWidth="1"/>
    <col min="13117" max="13125" width="9.140625" style="6"/>
    <col min="13126" max="13146" width="9.42578125" style="6" bestFit="1" customWidth="1"/>
    <col min="13147" max="13186" width="9.140625" style="6"/>
    <col min="13187" max="13208" width="9.85546875" style="6" bestFit="1" customWidth="1"/>
    <col min="13209" max="13217" width="9.140625" style="6"/>
    <col min="13218" max="13238" width="9.7109375" style="6" bestFit="1" customWidth="1"/>
    <col min="13239" max="13247" width="9.140625" style="6"/>
    <col min="13248" max="13269" width="9.42578125" style="6" bestFit="1" customWidth="1"/>
    <col min="13270" max="13278" width="9.140625" style="6"/>
    <col min="13279" max="13299" width="10" style="6" bestFit="1" customWidth="1"/>
    <col min="13300" max="13308" width="9.140625" style="6"/>
    <col min="13309" max="13330" width="9.7109375" style="6" bestFit="1" customWidth="1"/>
    <col min="13331" max="13370" width="9.140625" style="6"/>
    <col min="13371" max="13389" width="9.7109375" style="6" bestFit="1" customWidth="1"/>
    <col min="13390" max="13398" width="9.140625" style="6"/>
    <col min="13399" max="13420" width="9.85546875" style="6" bestFit="1" customWidth="1"/>
    <col min="13421" max="13429" width="9.140625" style="6"/>
    <col min="13430" max="13450" width="9.5703125" style="6" bestFit="1" customWidth="1"/>
    <col min="13451" max="13459" width="9.140625" style="6"/>
    <col min="13460" max="13481" width="10.140625" style="6" bestFit="1" customWidth="1"/>
    <col min="13482" max="13490" width="9.140625" style="6"/>
    <col min="13491" max="13511" width="9.42578125" style="6" bestFit="1" customWidth="1"/>
    <col min="13512" max="13551" width="9.140625" style="6"/>
    <col min="13552" max="13573" width="9.85546875" style="6" bestFit="1" customWidth="1"/>
    <col min="13574" max="13582" width="9.140625" style="6"/>
    <col min="13583" max="13603" width="9.7109375" style="6" bestFit="1" customWidth="1"/>
    <col min="13604" max="13612" width="9.140625" style="6"/>
    <col min="13613" max="13634" width="9.42578125" style="6" bestFit="1" customWidth="1"/>
    <col min="13635" max="13643" width="9.140625" style="6"/>
    <col min="13644" max="13664" width="10" style="6" bestFit="1" customWidth="1"/>
    <col min="13665" max="13673" width="9.140625" style="6"/>
    <col min="13674" max="13695" width="9.7109375" style="6" bestFit="1" customWidth="1"/>
    <col min="13696" max="13735" width="9.140625" style="6"/>
    <col min="13736" max="13754" width="9.7109375" style="6" bestFit="1" customWidth="1"/>
    <col min="13755" max="13763" width="9.140625" style="6"/>
    <col min="13764" max="13785" width="9.85546875" style="6" bestFit="1" customWidth="1"/>
    <col min="13786" max="13794" width="9.140625" style="6"/>
    <col min="13795" max="13815" width="9.5703125" style="6" bestFit="1" customWidth="1"/>
    <col min="13816" max="13824" width="9.140625" style="6"/>
    <col min="13825" max="13846" width="10.140625" style="6" bestFit="1" customWidth="1"/>
    <col min="13847" max="13855" width="9.140625" style="6"/>
    <col min="13856" max="13876" width="9.42578125" style="6" bestFit="1" customWidth="1"/>
    <col min="13877" max="13916" width="9.140625" style="6"/>
    <col min="13917" max="13938" width="9.85546875" style="6" bestFit="1" customWidth="1"/>
    <col min="13939" max="13947" width="9.140625" style="6"/>
    <col min="13948" max="13968" width="9.7109375" style="6" bestFit="1" customWidth="1"/>
    <col min="13969" max="13977" width="9.140625" style="6"/>
    <col min="13978" max="13999" width="9.42578125" style="6" bestFit="1" customWidth="1"/>
    <col min="14000" max="14008" width="9.140625" style="6"/>
    <col min="14009" max="14029" width="10" style="6" bestFit="1" customWidth="1"/>
    <col min="14030" max="14038" width="9.140625" style="6"/>
    <col min="14039" max="14060" width="9.7109375" style="6" bestFit="1" customWidth="1"/>
    <col min="14061" max="14100" width="9.140625" style="6"/>
    <col min="14101" max="14119" width="9.7109375" style="6" bestFit="1" customWidth="1"/>
    <col min="14120" max="14128" width="9.140625" style="6"/>
    <col min="14129" max="14150" width="9.85546875" style="6" bestFit="1" customWidth="1"/>
    <col min="14151" max="14159" width="9.140625" style="6"/>
    <col min="14160" max="14180" width="9.5703125" style="6" bestFit="1" customWidth="1"/>
    <col min="14181" max="14189" width="9.140625" style="6"/>
    <col min="14190" max="14211" width="10.140625" style="6" bestFit="1" customWidth="1"/>
    <col min="14212" max="14220" width="9.140625" style="6"/>
    <col min="14221" max="14241" width="9.42578125" style="6" bestFit="1" customWidth="1"/>
    <col min="14242" max="14281" width="9.140625" style="6"/>
    <col min="14282" max="14303" width="9.85546875" style="6" bestFit="1" customWidth="1"/>
    <col min="14304" max="14312" width="9.140625" style="6"/>
    <col min="14313" max="14333" width="9.7109375" style="6" bestFit="1" customWidth="1"/>
    <col min="14334" max="14342" width="9.140625" style="6"/>
    <col min="14343" max="14364" width="9.42578125" style="6" bestFit="1" customWidth="1"/>
    <col min="14365" max="14373" width="9.140625" style="6"/>
    <col min="14374" max="14394" width="10" style="6" bestFit="1" customWidth="1"/>
    <col min="14395" max="14403" width="9.140625" style="6"/>
    <col min="14404" max="14425" width="9.7109375" style="6" bestFit="1" customWidth="1"/>
    <col min="14426" max="14465" width="9.140625" style="6"/>
    <col min="14466" max="14485" width="9.7109375" style="6" bestFit="1" customWidth="1"/>
    <col min="14486" max="14494" width="9.140625" style="6"/>
    <col min="14495" max="14516" width="9.85546875" style="6" bestFit="1" customWidth="1"/>
    <col min="14517" max="14525" width="9.140625" style="6"/>
    <col min="14526" max="14546" width="9.5703125" style="6" bestFit="1" customWidth="1"/>
    <col min="14547" max="14555" width="9.140625" style="6"/>
    <col min="14556" max="14577" width="10.140625" style="6" bestFit="1" customWidth="1"/>
    <col min="14578" max="14586" width="9.140625" style="6"/>
    <col min="14587" max="14607" width="9.42578125" style="6" bestFit="1" customWidth="1"/>
    <col min="14608" max="14647" width="9.140625" style="6"/>
    <col min="14648" max="14669" width="9.85546875" style="6" bestFit="1" customWidth="1"/>
    <col min="14670" max="14678" width="9.140625" style="6"/>
    <col min="14679" max="14699" width="9.7109375" style="6" bestFit="1" customWidth="1"/>
    <col min="14700" max="14708" width="9.140625" style="6"/>
    <col min="14709" max="14730" width="9.42578125" style="6" bestFit="1" customWidth="1"/>
    <col min="14731" max="14739" width="9.140625" style="6"/>
    <col min="14740" max="14760" width="10" style="6" bestFit="1" customWidth="1"/>
    <col min="14761" max="14769" width="9.140625" style="6"/>
    <col min="14770" max="14791" width="9.7109375" style="6" bestFit="1" customWidth="1"/>
    <col min="14792" max="14831" width="9.140625" style="6"/>
    <col min="14832" max="14850" width="9.7109375" style="6" bestFit="1" customWidth="1"/>
    <col min="14851" max="14859" width="9.140625" style="6"/>
    <col min="14860" max="14881" width="9.85546875" style="6" bestFit="1" customWidth="1"/>
    <col min="14882" max="14890" width="9.140625" style="6"/>
    <col min="14891" max="14911" width="9.5703125" style="6" bestFit="1" customWidth="1"/>
    <col min="14912" max="14920" width="9.140625" style="6"/>
    <col min="14921" max="14942" width="10.140625" style="6" bestFit="1" customWidth="1"/>
    <col min="14943" max="14951" width="9.140625" style="6"/>
    <col min="14952" max="14972" width="9.42578125" style="6" bestFit="1" customWidth="1"/>
    <col min="14973" max="15012" width="9.140625" style="6"/>
    <col min="15013" max="15034" width="9.85546875" style="6" bestFit="1" customWidth="1"/>
    <col min="15035" max="15043" width="9.140625" style="6"/>
    <col min="15044" max="15064" width="9.7109375" style="6" bestFit="1" customWidth="1"/>
    <col min="15065" max="15073" width="9.140625" style="6"/>
    <col min="15074" max="15095" width="9.42578125" style="6" bestFit="1" customWidth="1"/>
    <col min="15096" max="15104" width="9.140625" style="6"/>
    <col min="15105" max="15125" width="10" style="6" bestFit="1" customWidth="1"/>
    <col min="15126" max="15134" width="9.140625" style="6"/>
    <col min="15135" max="15156" width="9.7109375" style="6" bestFit="1" customWidth="1"/>
    <col min="15157" max="15196" width="9.140625" style="6"/>
    <col min="15197" max="15215" width="9.7109375" style="6" bestFit="1" customWidth="1"/>
    <col min="15216" max="15224" width="9.140625" style="6"/>
    <col min="15225" max="15246" width="9.85546875" style="6" bestFit="1" customWidth="1"/>
    <col min="15247" max="15255" width="9.140625" style="6"/>
    <col min="15256" max="15276" width="9.5703125" style="6" bestFit="1" customWidth="1"/>
    <col min="15277" max="15285" width="9.140625" style="6"/>
    <col min="15286" max="15307" width="10.140625" style="6" bestFit="1" customWidth="1"/>
    <col min="15308" max="15316" width="9.140625" style="6"/>
    <col min="15317" max="15337" width="9.42578125" style="6" bestFit="1" customWidth="1"/>
    <col min="15338" max="15377" width="9.140625" style="6"/>
    <col min="15378" max="15399" width="9.85546875" style="6" bestFit="1" customWidth="1"/>
    <col min="15400" max="15408" width="9.140625" style="6"/>
    <col min="15409" max="15429" width="9.7109375" style="6" bestFit="1" customWidth="1"/>
    <col min="15430" max="15438" width="9.140625" style="6"/>
    <col min="15439" max="15460" width="9.42578125" style="6" bestFit="1" customWidth="1"/>
    <col min="15461" max="15469" width="9.140625" style="6"/>
    <col min="15470" max="15490" width="10" style="6" bestFit="1" customWidth="1"/>
    <col min="15491" max="15499" width="9.140625" style="6"/>
    <col min="15500" max="15521" width="9.7109375" style="6" bestFit="1" customWidth="1"/>
    <col min="15522" max="15561" width="9.140625" style="6"/>
    <col min="15562" max="15580" width="9.7109375" style="6" bestFit="1" customWidth="1"/>
    <col min="15581" max="15589" width="9.140625" style="6"/>
    <col min="15590" max="15611" width="9.85546875" style="6" bestFit="1" customWidth="1"/>
    <col min="15612" max="15620" width="9.140625" style="6"/>
    <col min="15621" max="15641" width="9.5703125" style="6" bestFit="1" customWidth="1"/>
    <col min="15642" max="15650" width="9.140625" style="6"/>
    <col min="15651" max="15672" width="10.140625" style="6" bestFit="1" customWidth="1"/>
    <col min="15673" max="15681" width="9.140625" style="6"/>
    <col min="15682" max="15702" width="9.42578125" style="6" bestFit="1" customWidth="1"/>
    <col min="15703" max="15742" width="9.140625" style="6"/>
    <col min="15743" max="15764" width="9.85546875" style="6" bestFit="1" customWidth="1"/>
    <col min="15765" max="15773" width="9.140625" style="6"/>
    <col min="15774" max="15794" width="9.7109375" style="6" bestFit="1" customWidth="1"/>
    <col min="15795" max="15803" width="9.140625" style="6"/>
    <col min="15804" max="15825" width="9.42578125" style="6" bestFit="1" customWidth="1"/>
    <col min="15826" max="15834" width="9.140625" style="6"/>
    <col min="15835" max="15855" width="10" style="6" bestFit="1" customWidth="1"/>
    <col min="15856" max="15864" width="9.140625" style="6"/>
    <col min="15865" max="15886" width="9.7109375" style="6" bestFit="1" customWidth="1"/>
    <col min="15887" max="15926" width="9.140625" style="6"/>
    <col min="15927" max="15946" width="9.7109375" style="6" bestFit="1" customWidth="1"/>
    <col min="15947" max="15955" width="9.140625" style="6"/>
    <col min="15956" max="15977" width="9.85546875" style="6" bestFit="1" customWidth="1"/>
    <col min="15978" max="15986" width="9.140625" style="6"/>
    <col min="15987" max="16007" width="9.5703125" style="6" bestFit="1" customWidth="1"/>
    <col min="16008" max="16016" width="9.140625" style="6"/>
    <col min="16017" max="16038" width="10.140625" style="6" bestFit="1" customWidth="1"/>
    <col min="16039" max="16047" width="9.140625" style="6"/>
    <col min="16048" max="16068" width="9.42578125" style="6" bestFit="1" customWidth="1"/>
    <col min="16069" max="16108" width="9.140625" style="6"/>
    <col min="16109" max="16130" width="9.85546875" style="6" bestFit="1" customWidth="1"/>
    <col min="16131" max="16139" width="9.140625" style="6"/>
    <col min="16140" max="16160" width="9.7109375" style="6" bestFit="1" customWidth="1"/>
    <col min="16161" max="16169" width="9.140625" style="6"/>
    <col min="16170" max="16191" width="9.42578125" style="6" bestFit="1" customWidth="1"/>
    <col min="16192" max="16384" width="9.140625" style="6"/>
  </cols>
  <sheetData>
    <row r="1" spans="1:14" x14ac:dyDescent="0.25">
      <c r="G1" s="44" t="s">
        <v>42</v>
      </c>
    </row>
    <row r="2" spans="1:14" x14ac:dyDescent="0.25">
      <c r="A2" s="7" t="s">
        <v>38</v>
      </c>
      <c r="B2" s="17"/>
      <c r="C2" s="23" t="s">
        <v>35</v>
      </c>
      <c r="G2" s="33" t="s">
        <v>46</v>
      </c>
      <c r="H2" s="34"/>
      <c r="I2" s="35"/>
      <c r="J2" s="35"/>
      <c r="K2" s="35"/>
      <c r="L2" s="35"/>
      <c r="M2" s="35"/>
      <c r="N2" s="36"/>
    </row>
    <row r="3" spans="1:14" x14ac:dyDescent="0.25">
      <c r="A3" s="7" t="s">
        <v>39</v>
      </c>
      <c r="B3" s="17"/>
      <c r="C3" s="23" t="s">
        <v>35</v>
      </c>
      <c r="G3" s="37" t="s">
        <v>43</v>
      </c>
      <c r="H3" s="38"/>
      <c r="I3" s="9"/>
      <c r="J3" s="9"/>
      <c r="K3" s="9"/>
      <c r="L3" s="9"/>
      <c r="M3" s="9"/>
      <c r="N3" s="39"/>
    </row>
    <row r="4" spans="1:14" x14ac:dyDescent="0.25">
      <c r="A4" s="7" t="s">
        <v>3</v>
      </c>
      <c r="B4" s="18"/>
      <c r="F4" s="9"/>
      <c r="G4" s="37" t="s">
        <v>44</v>
      </c>
      <c r="H4" s="38"/>
      <c r="I4" s="9"/>
      <c r="J4" s="9"/>
      <c r="K4" s="9"/>
      <c r="L4" s="9"/>
      <c r="M4" s="9"/>
      <c r="N4" s="39"/>
    </row>
    <row r="5" spans="1:14" x14ac:dyDescent="0.25">
      <c r="A5" s="7" t="s">
        <v>20</v>
      </c>
      <c r="B5" s="19">
        <f>B3-B2</f>
        <v>0</v>
      </c>
      <c r="G5" s="40" t="s">
        <v>45</v>
      </c>
      <c r="H5" s="41"/>
      <c r="I5" s="42"/>
      <c r="J5" s="42"/>
      <c r="K5" s="42"/>
      <c r="L5" s="42"/>
      <c r="M5" s="42"/>
      <c r="N5" s="43"/>
    </row>
    <row r="6" spans="1:14" x14ac:dyDescent="0.25">
      <c r="A6" s="7" t="s">
        <v>21</v>
      </c>
      <c r="B6" s="19">
        <f>NETWORKDAYS(B2,B3)</f>
        <v>0</v>
      </c>
    </row>
    <row r="7" spans="1:14" s="10" customFormat="1" ht="15.75" thickBot="1" x14ac:dyDescent="0.3">
      <c r="H7" s="11"/>
    </row>
    <row r="8" spans="1:14" x14ac:dyDescent="0.25">
      <c r="A8" s="9"/>
      <c r="B8" s="9"/>
    </row>
    <row r="9" spans="1:14" x14ac:dyDescent="0.25">
      <c r="A9" s="9"/>
      <c r="B9" s="9"/>
    </row>
    <row r="11" spans="1:14" customFormat="1" x14ac:dyDescent="0.25"/>
    <row r="12" spans="1:14" customFormat="1" x14ac:dyDescent="0.25"/>
    <row r="13" spans="1:14" customFormat="1" x14ac:dyDescent="0.25"/>
    <row r="14" spans="1:14" s="12" customFormat="1" ht="15.75" thickBot="1" x14ac:dyDescent="0.3"/>
    <row r="15" spans="1:14" s="13" customFormat="1" x14ac:dyDescent="0.25">
      <c r="A15" s="6"/>
      <c r="B15" s="6"/>
      <c r="H15" s="8"/>
    </row>
    <row r="16" spans="1:14" s="13" customFormat="1" x14ac:dyDescent="0.25">
      <c r="A16" s="6"/>
      <c r="B16" s="6"/>
      <c r="H16" s="8"/>
    </row>
    <row r="17" spans="1:33" s="13" customFormat="1" x14ac:dyDescent="0.25">
      <c r="A17" s="6"/>
      <c r="B17" s="6"/>
      <c r="H17" s="8"/>
    </row>
    <row r="18" spans="1:33" customFormat="1" ht="12.75" customHeight="1" x14ac:dyDescent="0.25"/>
    <row r="19" spans="1:33" customFormat="1" x14ac:dyDescent="0.25"/>
    <row r="20" spans="1:33" customFormat="1" x14ac:dyDescent="0.25"/>
    <row r="21" spans="1:33" s="10" customFormat="1" ht="15.75" thickBot="1" x14ac:dyDescent="0.3">
      <c r="H21" s="11"/>
    </row>
    <row r="23" spans="1:33" x14ac:dyDescent="0.25">
      <c r="A23" s="7" t="s">
        <v>6</v>
      </c>
      <c r="B23" s="17"/>
      <c r="C23" s="23" t="s">
        <v>35</v>
      </c>
    </row>
    <row r="27" spans="1:33" x14ac:dyDescent="0.25">
      <c r="A27" s="7" t="s">
        <v>3</v>
      </c>
      <c r="B27" s="19">
        <f>COUNTA('TCER Data'!C:C)-1</f>
        <v>12</v>
      </c>
    </row>
    <row r="28" spans="1:33" x14ac:dyDescent="0.25">
      <c r="A28" s="7" t="s">
        <v>5</v>
      </c>
      <c r="B28" s="20">
        <f>B27-COUNTIF('TCER Data'!C:C,"N/A")-COUNTIF('TCER Data'!C:C,"Functionality not delivered")</f>
        <v>10</v>
      </c>
    </row>
    <row r="29" spans="1:33" ht="30" x14ac:dyDescent="0.25">
      <c r="A29" s="16" t="s">
        <v>2</v>
      </c>
      <c r="B29" s="21" t="e">
        <f>HLOOKUP(B23,11:13,3,FALSE)</f>
        <v>#N/A</v>
      </c>
      <c r="C29" s="22" t="e">
        <f>B29/B28</f>
        <v>#N/A</v>
      </c>
    </row>
    <row r="30" spans="1:33" ht="30" x14ac:dyDescent="0.25">
      <c r="A30" s="16" t="s">
        <v>4</v>
      </c>
      <c r="B30" s="19" t="e">
        <f>HLOOKUP(B23,18:20,3,FALSE)</f>
        <v>#N/A</v>
      </c>
      <c r="C30" s="22" t="e">
        <f>B30/B28</f>
        <v>#N/A</v>
      </c>
    </row>
    <row r="31" spans="1:33" x14ac:dyDescent="0.25">
      <c r="B31" s="14"/>
      <c r="C31" s="14"/>
      <c r="D31" s="14"/>
      <c r="E31" s="14"/>
      <c r="F31" s="14"/>
      <c r="G31" s="14"/>
      <c r="I31" s="14"/>
      <c r="J31" s="14"/>
      <c r="K31" s="14"/>
      <c r="L31" s="14"/>
      <c r="M31" s="14"/>
      <c r="N31" s="14"/>
      <c r="O31" s="14"/>
      <c r="P31" s="14"/>
      <c r="Q31" s="14"/>
      <c r="R31" s="14"/>
      <c r="S31" s="14"/>
      <c r="T31" s="14"/>
      <c r="U31" s="14"/>
      <c r="V31" s="14"/>
      <c r="W31" s="14"/>
      <c r="X31" s="14"/>
      <c r="Y31" s="14"/>
      <c r="Z31" s="14"/>
      <c r="AA31" s="14"/>
      <c r="AB31" s="14"/>
      <c r="AC31" s="14"/>
      <c r="AD31" s="14"/>
      <c r="AE31" s="14"/>
      <c r="AF31" s="14"/>
      <c r="AG31" s="14"/>
    </row>
    <row r="32" spans="1:33" customFormat="1" x14ac:dyDescent="0.25"/>
    <row r="33" spans="1:1" customFormat="1" x14ac:dyDescent="0.25"/>
    <row r="34" spans="1:1" customFormat="1" x14ac:dyDescent="0.25"/>
    <row r="35" spans="1:1" x14ac:dyDescent="0.25">
      <c r="A35" s="15"/>
    </row>
    <row r="36" spans="1:1" x14ac:dyDescent="0.25">
      <c r="A36" s="15"/>
    </row>
    <row r="37" spans="1:1" x14ac:dyDescent="0.25">
      <c r="A37" s="15"/>
    </row>
    <row r="38" spans="1:1" x14ac:dyDescent="0.25">
      <c r="A38" s="15"/>
    </row>
    <row r="39" spans="1:1" x14ac:dyDescent="0.25">
      <c r="A39" s="15"/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Sheet3.Actual">
                <anchor moveWithCells="1" sizeWithCells="1">
                  <from>
                    <xdr:col>0</xdr:col>
                    <xdr:colOff>19050</xdr:colOff>
                    <xdr:row>14</xdr:row>
                    <xdr:rowOff>180975</xdr:rowOff>
                  </from>
                  <to>
                    <xdr:col>0</xdr:col>
                    <xdr:colOff>1323975</xdr:colOff>
                    <xdr:row>16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Sheet3.PlanVsActual">
                <anchor moveWithCells="1" sizeWithCells="1">
                  <from>
                    <xdr:col>0</xdr:col>
                    <xdr:colOff>28575</xdr:colOff>
                    <xdr:row>24</xdr:row>
                    <xdr:rowOff>0</xdr:rowOff>
                  </from>
                  <to>
                    <xdr:col>0</xdr:col>
                    <xdr:colOff>1457325</xdr:colOff>
                    <xdr:row>25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6" name="Button 3">
              <controlPr defaultSize="0" print="0" autoFill="0" autoPict="0" macro="[0]!Sheet3.Plan">
                <anchor moveWithCells="1" sizeWithCells="1">
                  <from>
                    <xdr:col>0</xdr:col>
                    <xdr:colOff>19050</xdr:colOff>
                    <xdr:row>7</xdr:row>
                    <xdr:rowOff>180975</xdr:rowOff>
                  </from>
                  <to>
                    <xdr:col>0</xdr:col>
                    <xdr:colOff>1371600</xdr:colOff>
                    <xdr:row>9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7" name="Button 5">
              <controlPr defaultSize="0" print="0" autoFill="0" autoPict="0" macro="[0]!Sheet3.ResetAll">
                <anchor moveWithCells="1" sizeWithCells="1">
                  <from>
                    <xdr:col>4</xdr:col>
                    <xdr:colOff>0</xdr:colOff>
                    <xdr:row>1</xdr:row>
                    <xdr:rowOff>0</xdr:rowOff>
                  </from>
                  <to>
                    <xdr:col>5</xdr:col>
                    <xdr:colOff>9525</xdr:colOff>
                    <xdr:row>2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2:AD10"/>
  <sheetViews>
    <sheetView zoomScaleNormal="100" workbookViewId="0">
      <selection activeCell="D8" sqref="D8"/>
    </sheetView>
  </sheetViews>
  <sheetFormatPr defaultRowHeight="15" x14ac:dyDescent="0.25"/>
  <cols>
    <col min="1" max="1" width="19.42578125" customWidth="1"/>
    <col min="2" max="2" width="16.28515625" customWidth="1"/>
    <col min="3" max="5" width="9.7109375" customWidth="1"/>
    <col min="6" max="6" width="11.28515625" customWidth="1"/>
    <col min="7" max="8" width="8.7109375" customWidth="1"/>
    <col min="9" max="13" width="9.7109375" customWidth="1"/>
    <col min="14" max="14" width="11.28515625" customWidth="1"/>
    <col min="15" max="22" width="8.7109375" customWidth="1"/>
    <col min="23" max="35" width="9.7109375" customWidth="1"/>
    <col min="36" max="36" width="8.7109375" customWidth="1"/>
    <col min="37" max="45" width="9.7109375" customWidth="1"/>
    <col min="46" max="46" width="8.7109375" customWidth="1"/>
    <col min="47" max="47" width="9.7109375" customWidth="1"/>
    <col min="48" max="48" width="11.28515625" bestFit="1" customWidth="1"/>
    <col min="49" max="49" width="13.7109375" bestFit="1" customWidth="1"/>
    <col min="50" max="50" width="11.5703125" bestFit="1" customWidth="1"/>
    <col min="51" max="51" width="14.7109375" bestFit="1" customWidth="1"/>
    <col min="52" max="52" width="11.5703125" bestFit="1" customWidth="1"/>
    <col min="53" max="53" width="14.7109375" bestFit="1" customWidth="1"/>
    <col min="54" max="54" width="11.5703125" bestFit="1" customWidth="1"/>
    <col min="55" max="55" width="14.7109375" bestFit="1" customWidth="1"/>
    <col min="56" max="56" width="10.5703125" bestFit="1" customWidth="1"/>
    <col min="57" max="57" width="13.7109375" bestFit="1" customWidth="1"/>
    <col min="58" max="58" width="9.140625" bestFit="1" customWidth="1"/>
    <col min="59" max="59" width="12.140625" bestFit="1" customWidth="1"/>
    <col min="60" max="60" width="11.28515625" bestFit="1" customWidth="1"/>
    <col min="61" max="61" width="11.5703125" bestFit="1" customWidth="1"/>
    <col min="62" max="62" width="14.7109375" bestFit="1" customWidth="1"/>
    <col min="63" max="63" width="11.5703125" bestFit="1" customWidth="1"/>
    <col min="64" max="64" width="14.7109375" bestFit="1" customWidth="1"/>
    <col min="65" max="65" width="10.5703125" bestFit="1" customWidth="1"/>
    <col min="66" max="66" width="7.140625" bestFit="1" customWidth="1"/>
    <col min="67" max="67" width="13.7109375" bestFit="1" customWidth="1"/>
    <col min="69" max="69" width="7.28515625" bestFit="1" customWidth="1"/>
    <col min="70" max="70" width="12.140625" bestFit="1" customWidth="1"/>
    <col min="71" max="71" width="11.28515625" bestFit="1" customWidth="1"/>
  </cols>
  <sheetData>
    <row r="2" spans="1:30" x14ac:dyDescent="0.25">
      <c r="A2" t="s">
        <v>41</v>
      </c>
      <c r="B2" s="4"/>
      <c r="C2" s="4"/>
      <c r="D2" s="4"/>
      <c r="E2" s="4"/>
      <c r="F2" s="4"/>
      <c r="G2" s="4"/>
      <c r="H2" s="4"/>
      <c r="I2" s="4"/>
      <c r="J2" s="4"/>
      <c r="K2" s="4"/>
      <c r="L2" s="4"/>
      <c r="M2" s="4"/>
      <c r="N2" s="4"/>
      <c r="O2" s="4"/>
      <c r="P2" s="4"/>
      <c r="Q2" s="4"/>
      <c r="R2" s="4"/>
      <c r="S2" s="4"/>
      <c r="T2" s="4"/>
      <c r="U2" s="4"/>
      <c r="V2" s="4"/>
      <c r="W2" s="4"/>
      <c r="X2" s="4"/>
      <c r="Y2" s="4"/>
      <c r="Z2" s="4"/>
      <c r="AA2" s="4"/>
      <c r="AB2" s="4"/>
      <c r="AC2" s="4"/>
    </row>
    <row r="3" spans="1:30" x14ac:dyDescent="0.25">
      <c r="A3" s="2"/>
      <c r="B3" s="3"/>
      <c r="C3" s="3"/>
      <c r="D3" s="3"/>
      <c r="E3" s="3"/>
      <c r="F3" s="3"/>
      <c r="G3" s="3"/>
      <c r="H3" s="3"/>
      <c r="I3" s="3"/>
      <c r="J3" s="3"/>
      <c r="K3" s="3"/>
      <c r="L3" s="3"/>
      <c r="M3" s="3"/>
      <c r="N3" s="3"/>
      <c r="O3" s="3"/>
      <c r="P3" s="3"/>
      <c r="Q3" s="3"/>
      <c r="R3" s="3"/>
      <c r="S3" s="3"/>
      <c r="T3" s="3"/>
      <c r="U3" s="3"/>
      <c r="V3" s="3"/>
      <c r="W3" s="3"/>
      <c r="X3" s="3"/>
      <c r="Y3" s="3"/>
      <c r="Z3" s="3"/>
      <c r="AA3" s="3"/>
      <c r="AB3" s="3"/>
      <c r="AC3" s="3"/>
      <c r="AD3" s="3"/>
    </row>
    <row r="4" spans="1:30" x14ac:dyDescent="0.25">
      <c r="A4" s="1" t="s">
        <v>52</v>
      </c>
      <c r="B4" s="1" t="s">
        <v>51</v>
      </c>
    </row>
    <row r="5" spans="1:30" x14ac:dyDescent="0.25">
      <c r="A5" s="1" t="s">
        <v>50</v>
      </c>
      <c r="B5" s="4">
        <v>42633</v>
      </c>
      <c r="C5" s="4">
        <v>42634</v>
      </c>
      <c r="D5" s="4">
        <v>42635</v>
      </c>
      <c r="E5" s="4">
        <v>42636</v>
      </c>
      <c r="F5" t="s">
        <v>0</v>
      </c>
    </row>
    <row r="6" spans="1:30" x14ac:dyDescent="0.25">
      <c r="A6" s="2" t="s">
        <v>167</v>
      </c>
      <c r="B6" s="3">
        <v>2</v>
      </c>
      <c r="C6" s="3">
        <v>1</v>
      </c>
      <c r="D6" s="3"/>
      <c r="E6" s="3">
        <v>1</v>
      </c>
      <c r="F6" s="3">
        <v>4</v>
      </c>
    </row>
    <row r="7" spans="1:30" x14ac:dyDescent="0.25">
      <c r="A7" s="2" t="s">
        <v>168</v>
      </c>
      <c r="B7" s="3">
        <v>2</v>
      </c>
      <c r="C7" s="3"/>
      <c r="D7" s="3">
        <v>1</v>
      </c>
      <c r="E7" s="3">
        <v>1</v>
      </c>
      <c r="F7" s="3">
        <v>4</v>
      </c>
    </row>
    <row r="8" spans="1:30" x14ac:dyDescent="0.25">
      <c r="A8" s="2" t="s">
        <v>169</v>
      </c>
      <c r="B8" s="3"/>
      <c r="C8" s="3"/>
      <c r="D8" s="3">
        <v>3</v>
      </c>
      <c r="E8" s="3"/>
      <c r="F8" s="3">
        <v>3</v>
      </c>
    </row>
    <row r="9" spans="1:30" x14ac:dyDescent="0.25">
      <c r="A9" s="2" t="s">
        <v>170</v>
      </c>
      <c r="B9" s="3"/>
      <c r="C9" s="3"/>
      <c r="D9" s="3">
        <v>1</v>
      </c>
      <c r="E9" s="3"/>
      <c r="F9" s="3">
        <v>1</v>
      </c>
    </row>
    <row r="10" spans="1:30" x14ac:dyDescent="0.25">
      <c r="A10" s="2" t="s">
        <v>0</v>
      </c>
      <c r="B10" s="3">
        <v>4</v>
      </c>
      <c r="C10" s="3">
        <v>1</v>
      </c>
      <c r="D10" s="3">
        <v>5</v>
      </c>
      <c r="E10" s="3">
        <v>2</v>
      </c>
      <c r="F10" s="3">
        <v>12</v>
      </c>
    </row>
  </sheetData>
  <pageMargins left="0.7" right="0.7" top="0.75" bottom="0.75" header="0.3" footer="0.3"/>
  <pageSetup orientation="portrait"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H843"/>
  <sheetViews>
    <sheetView workbookViewId="0">
      <selection activeCell="E21" sqref="E21"/>
    </sheetView>
  </sheetViews>
  <sheetFormatPr defaultRowHeight="15" x14ac:dyDescent="0.25"/>
  <cols>
    <col min="1" max="1" width="11.140625" customWidth="1"/>
    <col min="2" max="2" width="15.28515625" customWidth="1"/>
    <col min="3" max="3" width="11.7109375" customWidth="1"/>
    <col min="5" max="5" width="12.85546875" customWidth="1"/>
    <col min="6" max="6" width="16.5703125" customWidth="1"/>
    <col min="7" max="8" width="10.5703125" customWidth="1"/>
  </cols>
  <sheetData>
    <row r="1" spans="1:8" s="68" customFormat="1" x14ac:dyDescent="0.25">
      <c r="A1" s="68" t="s">
        <v>109</v>
      </c>
      <c r="B1" s="68" t="s">
        <v>142</v>
      </c>
      <c r="C1" s="68" t="s">
        <v>110</v>
      </c>
      <c r="D1" s="68" t="s">
        <v>111</v>
      </c>
      <c r="E1" s="68" t="s">
        <v>112</v>
      </c>
      <c r="F1" s="69" t="s">
        <v>113</v>
      </c>
      <c r="G1" s="68" t="s">
        <v>114</v>
      </c>
      <c r="H1" s="68" t="s">
        <v>115</v>
      </c>
    </row>
    <row r="2" spans="1:8" x14ac:dyDescent="0.25">
      <c r="A2" t="s">
        <v>155</v>
      </c>
      <c r="B2" t="s">
        <v>158</v>
      </c>
      <c r="C2" t="s">
        <v>49</v>
      </c>
      <c r="D2" t="s">
        <v>167</v>
      </c>
      <c r="F2" s="32">
        <v>42633</v>
      </c>
      <c r="G2" t="s">
        <v>126</v>
      </c>
      <c r="H2" t="s">
        <v>171</v>
      </c>
    </row>
    <row r="3" spans="1:8" x14ac:dyDescent="0.25">
      <c r="A3" t="s">
        <v>155</v>
      </c>
      <c r="B3" t="s">
        <v>158</v>
      </c>
      <c r="C3" t="s">
        <v>37</v>
      </c>
      <c r="D3" t="s">
        <v>167</v>
      </c>
      <c r="F3" s="32">
        <v>42633</v>
      </c>
      <c r="G3" t="s">
        <v>126</v>
      </c>
      <c r="H3" t="s">
        <v>172</v>
      </c>
    </row>
    <row r="4" spans="1:8" x14ac:dyDescent="0.25">
      <c r="A4" t="s">
        <v>155</v>
      </c>
      <c r="B4" t="s">
        <v>159</v>
      </c>
      <c r="C4" t="s">
        <v>47</v>
      </c>
      <c r="D4" t="s">
        <v>168</v>
      </c>
      <c r="F4" s="32">
        <v>42633</v>
      </c>
      <c r="G4" t="s">
        <v>126</v>
      </c>
      <c r="H4" t="s">
        <v>173</v>
      </c>
    </row>
    <row r="5" spans="1:8" x14ac:dyDescent="0.25">
      <c r="A5" t="s">
        <v>155</v>
      </c>
      <c r="B5" t="s">
        <v>159</v>
      </c>
      <c r="C5" t="s">
        <v>49</v>
      </c>
      <c r="D5" t="s">
        <v>168</v>
      </c>
      <c r="F5" s="32">
        <v>42633</v>
      </c>
      <c r="G5" t="s">
        <v>141</v>
      </c>
      <c r="H5" t="s">
        <v>174</v>
      </c>
    </row>
    <row r="6" spans="1:8" x14ac:dyDescent="0.25">
      <c r="A6" t="s">
        <v>156</v>
      </c>
      <c r="B6" t="s">
        <v>160</v>
      </c>
      <c r="C6" t="s">
        <v>48</v>
      </c>
      <c r="D6" t="s">
        <v>167</v>
      </c>
      <c r="F6" s="32">
        <v>42634</v>
      </c>
      <c r="G6" t="s">
        <v>141</v>
      </c>
      <c r="H6" t="s">
        <v>175</v>
      </c>
    </row>
    <row r="7" spans="1:8" x14ac:dyDescent="0.25">
      <c r="A7" t="s">
        <v>156</v>
      </c>
      <c r="B7" t="s">
        <v>160</v>
      </c>
      <c r="C7" t="s">
        <v>36</v>
      </c>
      <c r="D7" t="s">
        <v>168</v>
      </c>
      <c r="F7" s="32">
        <v>42635</v>
      </c>
      <c r="G7" t="s">
        <v>141</v>
      </c>
      <c r="H7" t="s">
        <v>176</v>
      </c>
    </row>
    <row r="8" spans="1:8" x14ac:dyDescent="0.25">
      <c r="A8" t="s">
        <v>156</v>
      </c>
      <c r="B8" t="s">
        <v>160</v>
      </c>
      <c r="C8" t="s">
        <v>143</v>
      </c>
      <c r="D8" t="s">
        <v>169</v>
      </c>
      <c r="F8" s="32">
        <v>42635</v>
      </c>
      <c r="G8" t="s">
        <v>126</v>
      </c>
      <c r="H8" t="s">
        <v>177</v>
      </c>
    </row>
    <row r="9" spans="1:8" x14ac:dyDescent="0.25">
      <c r="A9" t="s">
        <v>157</v>
      </c>
      <c r="B9" t="s">
        <v>161</v>
      </c>
      <c r="C9" t="s">
        <v>163</v>
      </c>
      <c r="D9" t="s">
        <v>169</v>
      </c>
      <c r="F9" s="32">
        <v>42635</v>
      </c>
      <c r="G9" t="s">
        <v>126</v>
      </c>
      <c r="H9" t="s">
        <v>178</v>
      </c>
    </row>
    <row r="10" spans="1:8" x14ac:dyDescent="0.25">
      <c r="A10" t="s">
        <v>157</v>
      </c>
      <c r="B10" t="s">
        <v>161</v>
      </c>
      <c r="C10" t="s">
        <v>164</v>
      </c>
      <c r="D10" t="s">
        <v>169</v>
      </c>
      <c r="F10" s="32">
        <v>42635</v>
      </c>
      <c r="G10" t="s">
        <v>126</v>
      </c>
      <c r="H10" t="s">
        <v>179</v>
      </c>
    </row>
    <row r="11" spans="1:8" x14ac:dyDescent="0.25">
      <c r="A11" t="s">
        <v>165</v>
      </c>
      <c r="B11" t="s">
        <v>162</v>
      </c>
      <c r="C11" t="s">
        <v>37</v>
      </c>
      <c r="D11" t="s">
        <v>167</v>
      </c>
      <c r="F11" s="32">
        <v>42636</v>
      </c>
      <c r="G11" t="s">
        <v>126</v>
      </c>
      <c r="H11" t="s">
        <v>180</v>
      </c>
    </row>
    <row r="12" spans="1:8" x14ac:dyDescent="0.25">
      <c r="A12" t="s">
        <v>165</v>
      </c>
      <c r="B12" t="s">
        <v>162</v>
      </c>
      <c r="C12" t="s">
        <v>47</v>
      </c>
      <c r="D12" t="s">
        <v>168</v>
      </c>
      <c r="F12" s="32">
        <v>42636</v>
      </c>
      <c r="G12" t="s">
        <v>126</v>
      </c>
      <c r="H12" t="s">
        <v>181</v>
      </c>
    </row>
    <row r="13" spans="1:8" x14ac:dyDescent="0.25">
      <c r="A13" t="s">
        <v>165</v>
      </c>
      <c r="B13" t="s">
        <v>166</v>
      </c>
      <c r="C13" t="s">
        <v>48</v>
      </c>
      <c r="D13" t="s">
        <v>170</v>
      </c>
      <c r="F13" s="32">
        <v>42635</v>
      </c>
      <c r="G13" t="s">
        <v>126</v>
      </c>
      <c r="H13" t="s">
        <v>182</v>
      </c>
    </row>
    <row r="14" spans="1:8" x14ac:dyDescent="0.25">
      <c r="F14" s="32"/>
    </row>
    <row r="15" spans="1:8" x14ac:dyDescent="0.25">
      <c r="F15" s="32"/>
    </row>
    <row r="16" spans="1:8" x14ac:dyDescent="0.25">
      <c r="F16" s="32"/>
    </row>
    <row r="17" spans="6:6" x14ac:dyDescent="0.25">
      <c r="F17" s="32"/>
    </row>
    <row r="18" spans="6:6" x14ac:dyDescent="0.25">
      <c r="F18" s="32"/>
    </row>
    <row r="19" spans="6:6" x14ac:dyDescent="0.25">
      <c r="F19" s="32"/>
    </row>
    <row r="20" spans="6:6" x14ac:dyDescent="0.25">
      <c r="F20" s="32"/>
    </row>
    <row r="21" spans="6:6" x14ac:dyDescent="0.25">
      <c r="F21" s="32"/>
    </row>
    <row r="22" spans="6:6" x14ac:dyDescent="0.25">
      <c r="F22" s="32"/>
    </row>
    <row r="23" spans="6:6" x14ac:dyDescent="0.25">
      <c r="F23" s="32"/>
    </row>
    <row r="24" spans="6:6" x14ac:dyDescent="0.25">
      <c r="F24" s="32"/>
    </row>
    <row r="25" spans="6:6" x14ac:dyDescent="0.25">
      <c r="F25" s="32"/>
    </row>
    <row r="26" spans="6:6" x14ac:dyDescent="0.25">
      <c r="F26" s="32"/>
    </row>
    <row r="27" spans="6:6" x14ac:dyDescent="0.25">
      <c r="F27" s="32"/>
    </row>
    <row r="28" spans="6:6" x14ac:dyDescent="0.25">
      <c r="F28" s="32"/>
    </row>
    <row r="29" spans="6:6" x14ac:dyDescent="0.25">
      <c r="F29" s="32"/>
    </row>
    <row r="30" spans="6:6" x14ac:dyDescent="0.25">
      <c r="F30" s="32"/>
    </row>
    <row r="31" spans="6:6" x14ac:dyDescent="0.25">
      <c r="F31" s="32"/>
    </row>
    <row r="32" spans="6:6" x14ac:dyDescent="0.25">
      <c r="F32" s="32"/>
    </row>
    <row r="33" spans="6:6" x14ac:dyDescent="0.25">
      <c r="F33" s="32"/>
    </row>
    <row r="34" spans="6:6" x14ac:dyDescent="0.25">
      <c r="F34" s="32"/>
    </row>
    <row r="35" spans="6:6" x14ac:dyDescent="0.25">
      <c r="F35" s="32"/>
    </row>
    <row r="36" spans="6:6" x14ac:dyDescent="0.25">
      <c r="F36" s="32"/>
    </row>
    <row r="37" spans="6:6" x14ac:dyDescent="0.25">
      <c r="F37" s="32"/>
    </row>
    <row r="38" spans="6:6" x14ac:dyDescent="0.25">
      <c r="F38" s="32"/>
    </row>
    <row r="39" spans="6:6" x14ac:dyDescent="0.25">
      <c r="F39" s="32"/>
    </row>
    <row r="40" spans="6:6" x14ac:dyDescent="0.25">
      <c r="F40" s="32"/>
    </row>
    <row r="41" spans="6:6" x14ac:dyDescent="0.25">
      <c r="F41" s="32"/>
    </row>
    <row r="42" spans="6:6" x14ac:dyDescent="0.25">
      <c r="F42" s="32"/>
    </row>
    <row r="43" spans="6:6" x14ac:dyDescent="0.25">
      <c r="F43" s="32"/>
    </row>
    <row r="44" spans="6:6" x14ac:dyDescent="0.25">
      <c r="F44" s="32"/>
    </row>
    <row r="45" spans="6:6" x14ac:dyDescent="0.25">
      <c r="F45" s="32"/>
    </row>
    <row r="46" spans="6:6" x14ac:dyDescent="0.25">
      <c r="F46" s="32"/>
    </row>
    <row r="47" spans="6:6" x14ac:dyDescent="0.25">
      <c r="F47" s="32"/>
    </row>
    <row r="48" spans="6:6" x14ac:dyDescent="0.25">
      <c r="F48" s="32"/>
    </row>
    <row r="49" spans="6:6" x14ac:dyDescent="0.25">
      <c r="F49" s="32"/>
    </row>
    <row r="50" spans="6:6" x14ac:dyDescent="0.25">
      <c r="F50" s="32"/>
    </row>
    <row r="51" spans="6:6" x14ac:dyDescent="0.25">
      <c r="F51" s="32"/>
    </row>
    <row r="52" spans="6:6" x14ac:dyDescent="0.25">
      <c r="F52" s="32"/>
    </row>
    <row r="53" spans="6:6" x14ac:dyDescent="0.25">
      <c r="F53" s="32"/>
    </row>
    <row r="54" spans="6:6" x14ac:dyDescent="0.25">
      <c r="F54" s="32"/>
    </row>
    <row r="55" spans="6:6" x14ac:dyDescent="0.25">
      <c r="F55" s="32"/>
    </row>
    <row r="56" spans="6:6" x14ac:dyDescent="0.25">
      <c r="F56" s="32"/>
    </row>
    <row r="57" spans="6:6" x14ac:dyDescent="0.25">
      <c r="F57" s="32"/>
    </row>
    <row r="58" spans="6:6" x14ac:dyDescent="0.25">
      <c r="F58" s="32"/>
    </row>
    <row r="59" spans="6:6" x14ac:dyDescent="0.25">
      <c r="F59" s="32"/>
    </row>
    <row r="60" spans="6:6" x14ac:dyDescent="0.25">
      <c r="F60" s="32"/>
    </row>
    <row r="61" spans="6:6" x14ac:dyDescent="0.25">
      <c r="F61" s="32"/>
    </row>
    <row r="62" spans="6:6" x14ac:dyDescent="0.25">
      <c r="F62" s="32"/>
    </row>
    <row r="63" spans="6:6" x14ac:dyDescent="0.25">
      <c r="F63" s="32"/>
    </row>
    <row r="64" spans="6:6" x14ac:dyDescent="0.25">
      <c r="F64" s="32"/>
    </row>
    <row r="65" spans="6:6" x14ac:dyDescent="0.25">
      <c r="F65" s="32"/>
    </row>
    <row r="66" spans="6:6" x14ac:dyDescent="0.25">
      <c r="F66" s="32"/>
    </row>
    <row r="67" spans="6:6" x14ac:dyDescent="0.25">
      <c r="F67" s="32"/>
    </row>
    <row r="68" spans="6:6" x14ac:dyDescent="0.25">
      <c r="F68" s="32"/>
    </row>
    <row r="69" spans="6:6" x14ac:dyDescent="0.25">
      <c r="F69" s="32"/>
    </row>
    <row r="70" spans="6:6" x14ac:dyDescent="0.25">
      <c r="F70" s="32"/>
    </row>
    <row r="71" spans="6:6" x14ac:dyDescent="0.25">
      <c r="F71" s="32"/>
    </row>
    <row r="72" spans="6:6" x14ac:dyDescent="0.25">
      <c r="F72" s="32"/>
    </row>
    <row r="73" spans="6:6" x14ac:dyDescent="0.25">
      <c r="F73" s="32"/>
    </row>
    <row r="74" spans="6:6" x14ac:dyDescent="0.25">
      <c r="F74" s="32"/>
    </row>
    <row r="75" spans="6:6" x14ac:dyDescent="0.25">
      <c r="F75" s="32"/>
    </row>
    <row r="76" spans="6:6" x14ac:dyDescent="0.25">
      <c r="F76" s="32"/>
    </row>
    <row r="77" spans="6:6" x14ac:dyDescent="0.25">
      <c r="F77" s="32"/>
    </row>
    <row r="78" spans="6:6" x14ac:dyDescent="0.25">
      <c r="F78" s="32"/>
    </row>
    <row r="79" spans="6:6" x14ac:dyDescent="0.25">
      <c r="F79" s="32"/>
    </row>
    <row r="80" spans="6:6" x14ac:dyDescent="0.25">
      <c r="F80" s="32"/>
    </row>
    <row r="81" spans="6:6" x14ac:dyDescent="0.25">
      <c r="F81" s="32"/>
    </row>
    <row r="82" spans="6:6" x14ac:dyDescent="0.25">
      <c r="F82" s="32"/>
    </row>
    <row r="83" spans="6:6" x14ac:dyDescent="0.25">
      <c r="F83" s="32"/>
    </row>
    <row r="84" spans="6:6" x14ac:dyDescent="0.25">
      <c r="F84" s="32"/>
    </row>
    <row r="85" spans="6:6" x14ac:dyDescent="0.25">
      <c r="F85" s="32"/>
    </row>
    <row r="86" spans="6:6" x14ac:dyDescent="0.25">
      <c r="F86" s="32"/>
    </row>
    <row r="87" spans="6:6" x14ac:dyDescent="0.25">
      <c r="F87" s="32"/>
    </row>
    <row r="88" spans="6:6" x14ac:dyDescent="0.25">
      <c r="F88" s="32"/>
    </row>
    <row r="89" spans="6:6" x14ac:dyDescent="0.25">
      <c r="F89" s="32"/>
    </row>
    <row r="90" spans="6:6" x14ac:dyDescent="0.25">
      <c r="F90" s="32"/>
    </row>
    <row r="91" spans="6:6" x14ac:dyDescent="0.25">
      <c r="F91" s="32"/>
    </row>
    <row r="92" spans="6:6" x14ac:dyDescent="0.25">
      <c r="F92" s="32"/>
    </row>
    <row r="93" spans="6:6" x14ac:dyDescent="0.25">
      <c r="F93" s="32"/>
    </row>
    <row r="94" spans="6:6" x14ac:dyDescent="0.25">
      <c r="F94" s="32"/>
    </row>
    <row r="95" spans="6:6" x14ac:dyDescent="0.25">
      <c r="F95" s="32"/>
    </row>
    <row r="96" spans="6:6" x14ac:dyDescent="0.25">
      <c r="F96" s="32"/>
    </row>
    <row r="97" spans="6:6" x14ac:dyDescent="0.25">
      <c r="F97" s="32"/>
    </row>
    <row r="98" spans="6:6" x14ac:dyDescent="0.25">
      <c r="F98" s="32"/>
    </row>
    <row r="99" spans="6:6" x14ac:dyDescent="0.25">
      <c r="F99" s="32"/>
    </row>
    <row r="100" spans="6:6" x14ac:dyDescent="0.25">
      <c r="F100" s="32"/>
    </row>
    <row r="101" spans="6:6" x14ac:dyDescent="0.25">
      <c r="F101" s="32"/>
    </row>
    <row r="102" spans="6:6" x14ac:dyDescent="0.25">
      <c r="F102" s="32"/>
    </row>
    <row r="103" spans="6:6" x14ac:dyDescent="0.25">
      <c r="F103" s="32"/>
    </row>
    <row r="104" spans="6:6" x14ac:dyDescent="0.25">
      <c r="F104" s="32"/>
    </row>
    <row r="105" spans="6:6" x14ac:dyDescent="0.25">
      <c r="F105" s="32"/>
    </row>
    <row r="106" spans="6:6" x14ac:dyDescent="0.25">
      <c r="F106" s="32"/>
    </row>
    <row r="107" spans="6:6" x14ac:dyDescent="0.25">
      <c r="F107" s="32"/>
    </row>
    <row r="108" spans="6:6" x14ac:dyDescent="0.25">
      <c r="F108" s="32"/>
    </row>
    <row r="109" spans="6:6" x14ac:dyDescent="0.25">
      <c r="F109" s="32"/>
    </row>
    <row r="110" spans="6:6" x14ac:dyDescent="0.25">
      <c r="F110" s="32"/>
    </row>
    <row r="111" spans="6:6" x14ac:dyDescent="0.25">
      <c r="F111" s="32"/>
    </row>
    <row r="112" spans="6:6" x14ac:dyDescent="0.25">
      <c r="F112" s="32"/>
    </row>
    <row r="113" spans="6:6" x14ac:dyDescent="0.25">
      <c r="F113" s="32"/>
    </row>
    <row r="114" spans="6:6" x14ac:dyDescent="0.25">
      <c r="F114" s="32"/>
    </row>
    <row r="115" spans="6:6" x14ac:dyDescent="0.25">
      <c r="F115" s="32"/>
    </row>
    <row r="116" spans="6:6" x14ac:dyDescent="0.25">
      <c r="F116" s="32"/>
    </row>
    <row r="117" spans="6:6" x14ac:dyDescent="0.25">
      <c r="F117" s="32"/>
    </row>
    <row r="118" spans="6:6" x14ac:dyDescent="0.25">
      <c r="F118" s="32"/>
    </row>
    <row r="119" spans="6:6" x14ac:dyDescent="0.25">
      <c r="F119" s="32"/>
    </row>
    <row r="120" spans="6:6" x14ac:dyDescent="0.25">
      <c r="F120" s="32"/>
    </row>
    <row r="121" spans="6:6" x14ac:dyDescent="0.25">
      <c r="F121" s="32"/>
    </row>
    <row r="122" spans="6:6" x14ac:dyDescent="0.25">
      <c r="F122" s="32"/>
    </row>
    <row r="156" spans="6:6" x14ac:dyDescent="0.25">
      <c r="F156" s="32"/>
    </row>
    <row r="157" spans="6:6" x14ac:dyDescent="0.25">
      <c r="F157" s="32"/>
    </row>
    <row r="158" spans="6:6" x14ac:dyDescent="0.25">
      <c r="F158" s="32"/>
    </row>
    <row r="159" spans="6:6" x14ac:dyDescent="0.25">
      <c r="F159" s="32"/>
    </row>
    <row r="160" spans="6:6" x14ac:dyDescent="0.25">
      <c r="F160" s="32"/>
    </row>
    <row r="161" spans="6:6" x14ac:dyDescent="0.25">
      <c r="F161" s="32"/>
    </row>
    <row r="162" spans="6:6" x14ac:dyDescent="0.25">
      <c r="F162" s="32"/>
    </row>
    <row r="163" spans="6:6" x14ac:dyDescent="0.25">
      <c r="F163" s="32"/>
    </row>
    <row r="164" spans="6:6" x14ac:dyDescent="0.25">
      <c r="F164" s="32"/>
    </row>
    <row r="165" spans="6:6" x14ac:dyDescent="0.25">
      <c r="F165" s="32"/>
    </row>
    <row r="166" spans="6:6" x14ac:dyDescent="0.25">
      <c r="F166" s="32"/>
    </row>
    <row r="167" spans="6:6" x14ac:dyDescent="0.25">
      <c r="F167" s="32"/>
    </row>
    <row r="168" spans="6:6" x14ac:dyDescent="0.25">
      <c r="F168" s="32"/>
    </row>
    <row r="169" spans="6:6" x14ac:dyDescent="0.25">
      <c r="F169" s="32"/>
    </row>
    <row r="170" spans="6:6" x14ac:dyDescent="0.25">
      <c r="F170" s="32"/>
    </row>
    <row r="171" spans="6:6" x14ac:dyDescent="0.25">
      <c r="F171" s="32"/>
    </row>
    <row r="172" spans="6:6" x14ac:dyDescent="0.25">
      <c r="F172" s="32"/>
    </row>
    <row r="173" spans="6:6" x14ac:dyDescent="0.25">
      <c r="F173" s="32"/>
    </row>
    <row r="174" spans="6:6" x14ac:dyDescent="0.25">
      <c r="F174" s="32"/>
    </row>
    <row r="175" spans="6:6" x14ac:dyDescent="0.25">
      <c r="F175" s="32"/>
    </row>
    <row r="176" spans="6:6" x14ac:dyDescent="0.25">
      <c r="F176" s="32"/>
    </row>
    <row r="177" spans="6:6" x14ac:dyDescent="0.25">
      <c r="F177" s="32"/>
    </row>
    <row r="178" spans="6:6" x14ac:dyDescent="0.25">
      <c r="F178" s="32"/>
    </row>
    <row r="179" spans="6:6" x14ac:dyDescent="0.25">
      <c r="F179" s="32"/>
    </row>
    <row r="180" spans="6:6" x14ac:dyDescent="0.25">
      <c r="F180" s="32"/>
    </row>
    <row r="181" spans="6:6" x14ac:dyDescent="0.25">
      <c r="F181" s="32"/>
    </row>
    <row r="182" spans="6:6" x14ac:dyDescent="0.25">
      <c r="F182" s="32"/>
    </row>
    <row r="183" spans="6:6" x14ac:dyDescent="0.25">
      <c r="F183" s="32"/>
    </row>
    <row r="184" spans="6:6" x14ac:dyDescent="0.25">
      <c r="F184" s="32"/>
    </row>
    <row r="185" spans="6:6" x14ac:dyDescent="0.25">
      <c r="F185" s="32"/>
    </row>
    <row r="186" spans="6:6" x14ac:dyDescent="0.25">
      <c r="F186" s="32"/>
    </row>
    <row r="187" spans="6:6" x14ac:dyDescent="0.25">
      <c r="F187" s="32"/>
    </row>
    <row r="188" spans="6:6" x14ac:dyDescent="0.25">
      <c r="F188" s="32"/>
    </row>
    <row r="189" spans="6:6" x14ac:dyDescent="0.25">
      <c r="F189" s="32"/>
    </row>
    <row r="190" spans="6:6" x14ac:dyDescent="0.25">
      <c r="F190" s="32"/>
    </row>
    <row r="191" spans="6:6" x14ac:dyDescent="0.25">
      <c r="F191" s="32"/>
    </row>
    <row r="192" spans="6:6" x14ac:dyDescent="0.25">
      <c r="F192" s="32"/>
    </row>
    <row r="193" spans="6:6" x14ac:dyDescent="0.25">
      <c r="F193" s="32"/>
    </row>
    <row r="194" spans="6:6" x14ac:dyDescent="0.25">
      <c r="F194" s="32"/>
    </row>
    <row r="195" spans="6:6" x14ac:dyDescent="0.25">
      <c r="F195" s="32"/>
    </row>
    <row r="196" spans="6:6" x14ac:dyDescent="0.25">
      <c r="F196" s="32"/>
    </row>
    <row r="197" spans="6:6" x14ac:dyDescent="0.25">
      <c r="F197" s="32"/>
    </row>
    <row r="198" spans="6:6" x14ac:dyDescent="0.25">
      <c r="F198" s="32"/>
    </row>
    <row r="199" spans="6:6" x14ac:dyDescent="0.25">
      <c r="F199" s="32"/>
    </row>
    <row r="200" spans="6:6" x14ac:dyDescent="0.25">
      <c r="F200" s="32"/>
    </row>
    <row r="201" spans="6:6" x14ac:dyDescent="0.25">
      <c r="F201" s="32"/>
    </row>
    <row r="202" spans="6:6" x14ac:dyDescent="0.25">
      <c r="F202" s="32"/>
    </row>
    <row r="203" spans="6:6" x14ac:dyDescent="0.25">
      <c r="F203" s="32"/>
    </row>
    <row r="204" spans="6:6" x14ac:dyDescent="0.25">
      <c r="F204" s="32"/>
    </row>
    <row r="205" spans="6:6" x14ac:dyDescent="0.25">
      <c r="F205" s="32"/>
    </row>
    <row r="206" spans="6:6" x14ac:dyDescent="0.25">
      <c r="F206" s="32"/>
    </row>
    <row r="207" spans="6:6" x14ac:dyDescent="0.25">
      <c r="F207" s="32"/>
    </row>
    <row r="208" spans="6:6" x14ac:dyDescent="0.25">
      <c r="F208" s="32"/>
    </row>
    <row r="209" spans="6:6" x14ac:dyDescent="0.25">
      <c r="F209" s="32"/>
    </row>
    <row r="210" spans="6:6" x14ac:dyDescent="0.25">
      <c r="F210" s="32"/>
    </row>
    <row r="211" spans="6:6" x14ac:dyDescent="0.25">
      <c r="F211" s="32"/>
    </row>
    <row r="212" spans="6:6" x14ac:dyDescent="0.25">
      <c r="F212" s="32"/>
    </row>
    <row r="213" spans="6:6" x14ac:dyDescent="0.25">
      <c r="F213" s="32"/>
    </row>
    <row r="214" spans="6:6" x14ac:dyDescent="0.25">
      <c r="F214" s="32"/>
    </row>
    <row r="215" spans="6:6" x14ac:dyDescent="0.25">
      <c r="F215" s="32"/>
    </row>
    <row r="216" spans="6:6" x14ac:dyDescent="0.25">
      <c r="F216" s="32"/>
    </row>
    <row r="217" spans="6:6" x14ac:dyDescent="0.25">
      <c r="F217" s="32"/>
    </row>
    <row r="218" spans="6:6" x14ac:dyDescent="0.25">
      <c r="F218" s="32"/>
    </row>
    <row r="219" spans="6:6" x14ac:dyDescent="0.25">
      <c r="F219" s="32"/>
    </row>
    <row r="220" spans="6:6" x14ac:dyDescent="0.25">
      <c r="F220" s="32"/>
    </row>
    <row r="221" spans="6:6" x14ac:dyDescent="0.25">
      <c r="F221" s="32"/>
    </row>
    <row r="222" spans="6:6" x14ac:dyDescent="0.25">
      <c r="F222" s="32"/>
    </row>
    <row r="223" spans="6:6" x14ac:dyDescent="0.25">
      <c r="F223" s="32"/>
    </row>
    <row r="224" spans="6:6" x14ac:dyDescent="0.25">
      <c r="F224" s="32"/>
    </row>
    <row r="225" spans="6:6" x14ac:dyDescent="0.25">
      <c r="F225" s="32"/>
    </row>
    <row r="226" spans="6:6" x14ac:dyDescent="0.25">
      <c r="F226" s="32"/>
    </row>
    <row r="227" spans="6:6" x14ac:dyDescent="0.25">
      <c r="F227" s="32"/>
    </row>
    <row r="228" spans="6:6" x14ac:dyDescent="0.25">
      <c r="F228" s="32"/>
    </row>
    <row r="229" spans="6:6" x14ac:dyDescent="0.25">
      <c r="F229" s="32"/>
    </row>
    <row r="230" spans="6:6" x14ac:dyDescent="0.25">
      <c r="F230" s="32"/>
    </row>
    <row r="231" spans="6:6" x14ac:dyDescent="0.25">
      <c r="F231" s="32"/>
    </row>
    <row r="232" spans="6:6" x14ac:dyDescent="0.25">
      <c r="F232" s="32"/>
    </row>
    <row r="233" spans="6:6" x14ac:dyDescent="0.25">
      <c r="F233" s="32"/>
    </row>
    <row r="234" spans="6:6" x14ac:dyDescent="0.25">
      <c r="F234" s="32"/>
    </row>
    <row r="235" spans="6:6" x14ac:dyDescent="0.25">
      <c r="F235" s="32"/>
    </row>
    <row r="236" spans="6:6" x14ac:dyDescent="0.25">
      <c r="F236" s="32"/>
    </row>
    <row r="237" spans="6:6" x14ac:dyDescent="0.25">
      <c r="F237" s="32"/>
    </row>
    <row r="238" spans="6:6" x14ac:dyDescent="0.25">
      <c r="F238" s="32"/>
    </row>
    <row r="239" spans="6:6" x14ac:dyDescent="0.25">
      <c r="F239" s="32"/>
    </row>
    <row r="240" spans="6:6" x14ac:dyDescent="0.25">
      <c r="F240" s="32"/>
    </row>
    <row r="241" spans="6:6" x14ac:dyDescent="0.25">
      <c r="F241" s="32"/>
    </row>
    <row r="242" spans="6:6" x14ac:dyDescent="0.25">
      <c r="F242" s="32"/>
    </row>
    <row r="243" spans="6:6" x14ac:dyDescent="0.25">
      <c r="F243" s="32"/>
    </row>
    <row r="244" spans="6:6" x14ac:dyDescent="0.25">
      <c r="F244" s="32"/>
    </row>
    <row r="245" spans="6:6" x14ac:dyDescent="0.25">
      <c r="F245" s="32"/>
    </row>
    <row r="246" spans="6:6" x14ac:dyDescent="0.25">
      <c r="F246" s="32"/>
    </row>
    <row r="247" spans="6:6" x14ac:dyDescent="0.25">
      <c r="F247" s="32"/>
    </row>
    <row r="248" spans="6:6" x14ac:dyDescent="0.25">
      <c r="F248" s="32"/>
    </row>
    <row r="249" spans="6:6" x14ac:dyDescent="0.25">
      <c r="F249" s="32"/>
    </row>
    <row r="250" spans="6:6" x14ac:dyDescent="0.25">
      <c r="F250" s="32"/>
    </row>
    <row r="251" spans="6:6" x14ac:dyDescent="0.25">
      <c r="F251" s="32"/>
    </row>
    <row r="252" spans="6:6" x14ac:dyDescent="0.25">
      <c r="F252" s="32"/>
    </row>
    <row r="253" spans="6:6" x14ac:dyDescent="0.25">
      <c r="F253" s="32"/>
    </row>
    <row r="254" spans="6:6" x14ac:dyDescent="0.25">
      <c r="F254" s="32"/>
    </row>
    <row r="255" spans="6:6" x14ac:dyDescent="0.25">
      <c r="F255" s="32"/>
    </row>
    <row r="256" spans="6:6" x14ac:dyDescent="0.25">
      <c r="F256" s="32"/>
    </row>
    <row r="257" spans="6:6" x14ac:dyDescent="0.25">
      <c r="F257" s="32"/>
    </row>
    <row r="258" spans="6:6" x14ac:dyDescent="0.25">
      <c r="F258" s="32"/>
    </row>
    <row r="259" spans="6:6" x14ac:dyDescent="0.25">
      <c r="F259" s="32"/>
    </row>
    <row r="260" spans="6:6" x14ac:dyDescent="0.25">
      <c r="F260" s="32"/>
    </row>
    <row r="261" spans="6:6" x14ac:dyDescent="0.25">
      <c r="F261" s="32"/>
    </row>
    <row r="262" spans="6:6" x14ac:dyDescent="0.25">
      <c r="F262" s="32"/>
    </row>
    <row r="263" spans="6:6" x14ac:dyDescent="0.25">
      <c r="F263" s="32"/>
    </row>
    <row r="264" spans="6:6" x14ac:dyDescent="0.25">
      <c r="F264" s="32"/>
    </row>
    <row r="265" spans="6:6" x14ac:dyDescent="0.25">
      <c r="F265" s="32"/>
    </row>
    <row r="266" spans="6:6" x14ac:dyDescent="0.25">
      <c r="F266" s="32"/>
    </row>
    <row r="267" spans="6:6" x14ac:dyDescent="0.25">
      <c r="F267" s="32"/>
    </row>
    <row r="268" spans="6:6" x14ac:dyDescent="0.25">
      <c r="F268" s="32"/>
    </row>
    <row r="269" spans="6:6" x14ac:dyDescent="0.25">
      <c r="F269" s="32"/>
    </row>
    <row r="270" spans="6:6" x14ac:dyDescent="0.25">
      <c r="F270" s="32"/>
    </row>
    <row r="271" spans="6:6" x14ac:dyDescent="0.25">
      <c r="F271" s="32"/>
    </row>
    <row r="272" spans="6:6" x14ac:dyDescent="0.25">
      <c r="F272" s="32"/>
    </row>
    <row r="273" spans="6:6" x14ac:dyDescent="0.25">
      <c r="F273" s="32"/>
    </row>
    <row r="274" spans="6:6" x14ac:dyDescent="0.25">
      <c r="F274" s="32"/>
    </row>
    <row r="275" spans="6:6" x14ac:dyDescent="0.25">
      <c r="F275" s="32"/>
    </row>
    <row r="276" spans="6:6" x14ac:dyDescent="0.25">
      <c r="F276" s="32"/>
    </row>
    <row r="277" spans="6:6" x14ac:dyDescent="0.25">
      <c r="F277" s="32"/>
    </row>
    <row r="278" spans="6:6" x14ac:dyDescent="0.25">
      <c r="F278" s="32"/>
    </row>
    <row r="279" spans="6:6" x14ac:dyDescent="0.25">
      <c r="F279" s="32"/>
    </row>
    <row r="280" spans="6:6" x14ac:dyDescent="0.25">
      <c r="F280" s="32"/>
    </row>
    <row r="282" spans="6:6" x14ac:dyDescent="0.25">
      <c r="F282" s="32"/>
    </row>
    <row r="283" spans="6:6" x14ac:dyDescent="0.25">
      <c r="F283" s="32"/>
    </row>
    <row r="284" spans="6:6" x14ac:dyDescent="0.25">
      <c r="F284" s="32"/>
    </row>
    <row r="285" spans="6:6" x14ac:dyDescent="0.25">
      <c r="F285" s="32"/>
    </row>
    <row r="286" spans="6:6" x14ac:dyDescent="0.25">
      <c r="F286" s="32"/>
    </row>
    <row r="287" spans="6:6" x14ac:dyDescent="0.25">
      <c r="F287" s="32"/>
    </row>
    <row r="288" spans="6:6" x14ac:dyDescent="0.25">
      <c r="F288" s="32"/>
    </row>
    <row r="289" spans="6:6" x14ac:dyDescent="0.25">
      <c r="F289" s="32"/>
    </row>
    <row r="290" spans="6:6" x14ac:dyDescent="0.25">
      <c r="F290" s="32"/>
    </row>
    <row r="291" spans="6:6" x14ac:dyDescent="0.25">
      <c r="F291" s="32"/>
    </row>
    <row r="292" spans="6:6" x14ac:dyDescent="0.25">
      <c r="F292" s="32"/>
    </row>
    <row r="293" spans="6:6" x14ac:dyDescent="0.25">
      <c r="F293" s="32"/>
    </row>
    <row r="302" spans="6:6" x14ac:dyDescent="0.25">
      <c r="F302" s="32"/>
    </row>
    <row r="303" spans="6:6" x14ac:dyDescent="0.25">
      <c r="F303" s="32"/>
    </row>
    <row r="304" spans="6:6" x14ac:dyDescent="0.25">
      <c r="F304" s="32"/>
    </row>
    <row r="305" spans="6:6" x14ac:dyDescent="0.25">
      <c r="F305" s="32"/>
    </row>
    <row r="306" spans="6:6" x14ac:dyDescent="0.25">
      <c r="F306" s="32"/>
    </row>
    <row r="307" spans="6:6" x14ac:dyDescent="0.25">
      <c r="F307" s="32"/>
    </row>
    <row r="308" spans="6:6" x14ac:dyDescent="0.25">
      <c r="F308" s="32"/>
    </row>
    <row r="309" spans="6:6" x14ac:dyDescent="0.25">
      <c r="F309" s="32"/>
    </row>
    <row r="310" spans="6:6" x14ac:dyDescent="0.25">
      <c r="F310" s="32"/>
    </row>
    <row r="311" spans="6:6" x14ac:dyDescent="0.25">
      <c r="F311" s="32"/>
    </row>
    <row r="312" spans="6:6" x14ac:dyDescent="0.25">
      <c r="F312" s="32"/>
    </row>
    <row r="313" spans="6:6" x14ac:dyDescent="0.25">
      <c r="F313" s="32"/>
    </row>
    <row r="314" spans="6:6" x14ac:dyDescent="0.25">
      <c r="F314" s="32"/>
    </row>
    <row r="315" spans="6:6" x14ac:dyDescent="0.25">
      <c r="F315" s="32"/>
    </row>
    <row r="316" spans="6:6" x14ac:dyDescent="0.25">
      <c r="F316" s="32"/>
    </row>
    <row r="317" spans="6:6" x14ac:dyDescent="0.25">
      <c r="F317" s="32"/>
    </row>
    <row r="318" spans="6:6" x14ac:dyDescent="0.25">
      <c r="F318" s="32"/>
    </row>
    <row r="319" spans="6:6" x14ac:dyDescent="0.25">
      <c r="F319" s="32"/>
    </row>
    <row r="320" spans="6:6" x14ac:dyDescent="0.25">
      <c r="F320" s="32"/>
    </row>
    <row r="321" spans="6:6" x14ac:dyDescent="0.25">
      <c r="F321" s="32"/>
    </row>
    <row r="322" spans="6:6" x14ac:dyDescent="0.25">
      <c r="F322" s="32"/>
    </row>
    <row r="323" spans="6:6" x14ac:dyDescent="0.25">
      <c r="F323" s="32"/>
    </row>
    <row r="324" spans="6:6" x14ac:dyDescent="0.25">
      <c r="F324" s="32"/>
    </row>
    <row r="325" spans="6:6" x14ac:dyDescent="0.25">
      <c r="F325" s="32"/>
    </row>
    <row r="326" spans="6:6" x14ac:dyDescent="0.25">
      <c r="F326" s="32"/>
    </row>
    <row r="327" spans="6:6" x14ac:dyDescent="0.25">
      <c r="F327" s="32"/>
    </row>
    <row r="328" spans="6:6" x14ac:dyDescent="0.25">
      <c r="F328" s="32"/>
    </row>
    <row r="329" spans="6:6" x14ac:dyDescent="0.25">
      <c r="F329" s="32"/>
    </row>
    <row r="330" spans="6:6" x14ac:dyDescent="0.25">
      <c r="F330" s="32"/>
    </row>
    <row r="331" spans="6:6" x14ac:dyDescent="0.25">
      <c r="F331" s="32"/>
    </row>
    <row r="332" spans="6:6" x14ac:dyDescent="0.25">
      <c r="F332" s="32"/>
    </row>
    <row r="333" spans="6:6" x14ac:dyDescent="0.25">
      <c r="F333" s="32"/>
    </row>
    <row r="334" spans="6:6" x14ac:dyDescent="0.25">
      <c r="F334" s="32"/>
    </row>
    <row r="335" spans="6:6" x14ac:dyDescent="0.25">
      <c r="F335" s="32"/>
    </row>
    <row r="336" spans="6:6" x14ac:dyDescent="0.25">
      <c r="F336" s="32"/>
    </row>
    <row r="337" spans="6:6" x14ac:dyDescent="0.25">
      <c r="F337" s="32"/>
    </row>
    <row r="338" spans="6:6" x14ac:dyDescent="0.25">
      <c r="F338" s="32"/>
    </row>
    <row r="339" spans="6:6" x14ac:dyDescent="0.25">
      <c r="F339" s="32"/>
    </row>
    <row r="340" spans="6:6" x14ac:dyDescent="0.25">
      <c r="F340" s="32"/>
    </row>
    <row r="341" spans="6:6" x14ac:dyDescent="0.25">
      <c r="F341" s="32"/>
    </row>
    <row r="342" spans="6:6" x14ac:dyDescent="0.25">
      <c r="F342" s="32"/>
    </row>
    <row r="343" spans="6:6" x14ac:dyDescent="0.25">
      <c r="F343" s="32"/>
    </row>
    <row r="344" spans="6:6" x14ac:dyDescent="0.25">
      <c r="F344" s="32"/>
    </row>
    <row r="345" spans="6:6" x14ac:dyDescent="0.25">
      <c r="F345" s="32"/>
    </row>
    <row r="346" spans="6:6" x14ac:dyDescent="0.25">
      <c r="F346" s="32"/>
    </row>
    <row r="347" spans="6:6" x14ac:dyDescent="0.25">
      <c r="F347" s="32"/>
    </row>
    <row r="348" spans="6:6" x14ac:dyDescent="0.25">
      <c r="F348" s="32"/>
    </row>
    <row r="349" spans="6:6" x14ac:dyDescent="0.25">
      <c r="F349" s="32"/>
    </row>
    <row r="350" spans="6:6" x14ac:dyDescent="0.25">
      <c r="F350" s="32"/>
    </row>
    <row r="351" spans="6:6" x14ac:dyDescent="0.25">
      <c r="F351" s="32"/>
    </row>
    <row r="352" spans="6:6" x14ac:dyDescent="0.25">
      <c r="F352" s="32"/>
    </row>
    <row r="353" spans="6:6" x14ac:dyDescent="0.25">
      <c r="F353" s="32"/>
    </row>
    <row r="354" spans="6:6" x14ac:dyDescent="0.25">
      <c r="F354" s="32"/>
    </row>
    <row r="355" spans="6:6" x14ac:dyDescent="0.25">
      <c r="F355" s="32"/>
    </row>
    <row r="356" spans="6:6" x14ac:dyDescent="0.25">
      <c r="F356" s="32"/>
    </row>
    <row r="357" spans="6:6" x14ac:dyDescent="0.25">
      <c r="F357" s="32"/>
    </row>
    <row r="358" spans="6:6" x14ac:dyDescent="0.25">
      <c r="F358" s="32"/>
    </row>
    <row r="359" spans="6:6" x14ac:dyDescent="0.25">
      <c r="F359" s="32"/>
    </row>
    <row r="360" spans="6:6" x14ac:dyDescent="0.25">
      <c r="F360" s="32"/>
    </row>
    <row r="361" spans="6:6" x14ac:dyDescent="0.25">
      <c r="F361" s="32"/>
    </row>
    <row r="362" spans="6:6" x14ac:dyDescent="0.25">
      <c r="F362" s="32"/>
    </row>
    <row r="363" spans="6:6" x14ac:dyDescent="0.25">
      <c r="F363" s="32"/>
    </row>
    <row r="364" spans="6:6" x14ac:dyDescent="0.25">
      <c r="F364" s="32"/>
    </row>
    <row r="365" spans="6:6" x14ac:dyDescent="0.25">
      <c r="F365" s="32"/>
    </row>
    <row r="366" spans="6:6" x14ac:dyDescent="0.25">
      <c r="F366" s="32"/>
    </row>
    <row r="367" spans="6:6" x14ac:dyDescent="0.25">
      <c r="F367" s="32"/>
    </row>
    <row r="368" spans="6:6" x14ac:dyDescent="0.25">
      <c r="F368" s="32"/>
    </row>
    <row r="369" spans="6:6" x14ac:dyDescent="0.25">
      <c r="F369" s="32"/>
    </row>
    <row r="370" spans="6:6" x14ac:dyDescent="0.25">
      <c r="F370" s="32"/>
    </row>
    <row r="371" spans="6:6" x14ac:dyDescent="0.25">
      <c r="F371" s="32"/>
    </row>
    <row r="372" spans="6:6" x14ac:dyDescent="0.25">
      <c r="F372" s="32"/>
    </row>
    <row r="373" spans="6:6" x14ac:dyDescent="0.25">
      <c r="F373" s="32"/>
    </row>
    <row r="374" spans="6:6" x14ac:dyDescent="0.25">
      <c r="F374" s="32"/>
    </row>
    <row r="375" spans="6:6" x14ac:dyDescent="0.25">
      <c r="F375" s="32"/>
    </row>
    <row r="376" spans="6:6" x14ac:dyDescent="0.25">
      <c r="F376" s="32"/>
    </row>
    <row r="377" spans="6:6" x14ac:dyDescent="0.25">
      <c r="F377" s="32"/>
    </row>
    <row r="378" spans="6:6" x14ac:dyDescent="0.25">
      <c r="F378" s="32"/>
    </row>
    <row r="379" spans="6:6" x14ac:dyDescent="0.25">
      <c r="F379" s="32"/>
    </row>
    <row r="380" spans="6:6" x14ac:dyDescent="0.25">
      <c r="F380" s="32"/>
    </row>
    <row r="381" spans="6:6" x14ac:dyDescent="0.25">
      <c r="F381" s="32"/>
    </row>
    <row r="382" spans="6:6" x14ac:dyDescent="0.25">
      <c r="F382" s="32"/>
    </row>
    <row r="383" spans="6:6" x14ac:dyDescent="0.25">
      <c r="F383" s="32"/>
    </row>
    <row r="384" spans="6:6" x14ac:dyDescent="0.25">
      <c r="F384" s="32"/>
    </row>
    <row r="385" spans="6:6" x14ac:dyDescent="0.25">
      <c r="F385" s="32"/>
    </row>
    <row r="386" spans="6:6" x14ac:dyDescent="0.25">
      <c r="F386" s="32"/>
    </row>
    <row r="387" spans="6:6" x14ac:dyDescent="0.25">
      <c r="F387" s="32"/>
    </row>
    <row r="388" spans="6:6" x14ac:dyDescent="0.25">
      <c r="F388" s="32"/>
    </row>
    <row r="389" spans="6:6" x14ac:dyDescent="0.25">
      <c r="F389" s="32"/>
    </row>
    <row r="390" spans="6:6" x14ac:dyDescent="0.25">
      <c r="F390" s="32"/>
    </row>
    <row r="391" spans="6:6" x14ac:dyDescent="0.25">
      <c r="F391" s="32"/>
    </row>
    <row r="392" spans="6:6" x14ac:dyDescent="0.25">
      <c r="F392" s="32"/>
    </row>
    <row r="393" spans="6:6" x14ac:dyDescent="0.25">
      <c r="F393" s="32"/>
    </row>
    <row r="394" spans="6:6" x14ac:dyDescent="0.25">
      <c r="F394" s="32"/>
    </row>
    <row r="395" spans="6:6" x14ac:dyDescent="0.25">
      <c r="F395" s="32"/>
    </row>
    <row r="396" spans="6:6" x14ac:dyDescent="0.25">
      <c r="F396" s="32"/>
    </row>
    <row r="397" spans="6:6" x14ac:dyDescent="0.25">
      <c r="F397" s="32"/>
    </row>
    <row r="398" spans="6:6" x14ac:dyDescent="0.25">
      <c r="F398" s="32"/>
    </row>
    <row r="399" spans="6:6" x14ac:dyDescent="0.25">
      <c r="F399" s="32"/>
    </row>
    <row r="400" spans="6:6" x14ac:dyDescent="0.25">
      <c r="F400" s="32"/>
    </row>
    <row r="401" spans="6:6" x14ac:dyDescent="0.25">
      <c r="F401" s="32"/>
    </row>
    <row r="402" spans="6:6" x14ac:dyDescent="0.25">
      <c r="F402" s="32"/>
    </row>
    <row r="403" spans="6:6" x14ac:dyDescent="0.25">
      <c r="F403" s="32"/>
    </row>
    <row r="404" spans="6:6" x14ac:dyDescent="0.25">
      <c r="F404" s="32"/>
    </row>
    <row r="405" spans="6:6" x14ac:dyDescent="0.25">
      <c r="F405" s="32"/>
    </row>
    <row r="406" spans="6:6" x14ac:dyDescent="0.25">
      <c r="F406" s="32"/>
    </row>
    <row r="407" spans="6:6" x14ac:dyDescent="0.25">
      <c r="F407" s="32"/>
    </row>
    <row r="408" spans="6:6" x14ac:dyDescent="0.25">
      <c r="F408" s="32"/>
    </row>
    <row r="409" spans="6:6" x14ac:dyDescent="0.25">
      <c r="F409" s="32"/>
    </row>
    <row r="410" spans="6:6" x14ac:dyDescent="0.25">
      <c r="F410" s="32"/>
    </row>
    <row r="411" spans="6:6" x14ac:dyDescent="0.25">
      <c r="F411" s="32"/>
    </row>
    <row r="412" spans="6:6" x14ac:dyDescent="0.25">
      <c r="F412" s="32"/>
    </row>
    <row r="413" spans="6:6" x14ac:dyDescent="0.25">
      <c r="F413" s="32"/>
    </row>
    <row r="414" spans="6:6" x14ac:dyDescent="0.25">
      <c r="F414" s="32"/>
    </row>
    <row r="415" spans="6:6" x14ac:dyDescent="0.25">
      <c r="F415" s="32"/>
    </row>
    <row r="416" spans="6:6" x14ac:dyDescent="0.25">
      <c r="F416" s="32"/>
    </row>
    <row r="417" spans="6:6" x14ac:dyDescent="0.25">
      <c r="F417" s="32"/>
    </row>
    <row r="418" spans="6:6" x14ac:dyDescent="0.25">
      <c r="F418" s="32"/>
    </row>
    <row r="419" spans="6:6" x14ac:dyDescent="0.25">
      <c r="F419" s="32"/>
    </row>
    <row r="420" spans="6:6" x14ac:dyDescent="0.25">
      <c r="F420" s="32"/>
    </row>
    <row r="421" spans="6:6" x14ac:dyDescent="0.25">
      <c r="F421" s="32"/>
    </row>
    <row r="422" spans="6:6" x14ac:dyDescent="0.25">
      <c r="F422" s="32"/>
    </row>
    <row r="423" spans="6:6" x14ac:dyDescent="0.25">
      <c r="F423" s="32"/>
    </row>
    <row r="424" spans="6:6" x14ac:dyDescent="0.25">
      <c r="F424" s="32"/>
    </row>
    <row r="425" spans="6:6" x14ac:dyDescent="0.25">
      <c r="F425" s="32"/>
    </row>
    <row r="434" spans="6:6" x14ac:dyDescent="0.25">
      <c r="F434" s="32"/>
    </row>
    <row r="435" spans="6:6" x14ac:dyDescent="0.25">
      <c r="F435" s="32"/>
    </row>
    <row r="436" spans="6:6" x14ac:dyDescent="0.25">
      <c r="F436" s="32"/>
    </row>
    <row r="437" spans="6:6" x14ac:dyDescent="0.25">
      <c r="F437" s="32"/>
    </row>
    <row r="438" spans="6:6" x14ac:dyDescent="0.25">
      <c r="F438" s="32"/>
    </row>
    <row r="439" spans="6:6" x14ac:dyDescent="0.25">
      <c r="F439" s="32"/>
    </row>
    <row r="440" spans="6:6" x14ac:dyDescent="0.25">
      <c r="F440" s="32"/>
    </row>
    <row r="441" spans="6:6" x14ac:dyDescent="0.25">
      <c r="F441" s="32"/>
    </row>
    <row r="442" spans="6:6" x14ac:dyDescent="0.25">
      <c r="F442" s="32"/>
    </row>
    <row r="443" spans="6:6" x14ac:dyDescent="0.25">
      <c r="F443" s="32"/>
    </row>
    <row r="444" spans="6:6" x14ac:dyDescent="0.25">
      <c r="F444" s="32"/>
    </row>
    <row r="445" spans="6:6" x14ac:dyDescent="0.25">
      <c r="F445" s="32"/>
    </row>
    <row r="446" spans="6:6" x14ac:dyDescent="0.25">
      <c r="F446" s="32"/>
    </row>
    <row r="447" spans="6:6" x14ac:dyDescent="0.25">
      <c r="F447" s="32"/>
    </row>
    <row r="448" spans="6:6" x14ac:dyDescent="0.25">
      <c r="F448" s="32"/>
    </row>
    <row r="449" spans="6:6" x14ac:dyDescent="0.25">
      <c r="F449" s="32"/>
    </row>
    <row r="450" spans="6:6" x14ac:dyDescent="0.25">
      <c r="F450" s="32"/>
    </row>
    <row r="451" spans="6:6" x14ac:dyDescent="0.25">
      <c r="F451" s="32"/>
    </row>
    <row r="452" spans="6:6" x14ac:dyDescent="0.25">
      <c r="F452" s="32"/>
    </row>
    <row r="453" spans="6:6" x14ac:dyDescent="0.25">
      <c r="F453" s="32"/>
    </row>
    <row r="454" spans="6:6" x14ac:dyDescent="0.25">
      <c r="F454" s="32"/>
    </row>
    <row r="455" spans="6:6" x14ac:dyDescent="0.25">
      <c r="F455" s="32"/>
    </row>
    <row r="456" spans="6:6" x14ac:dyDescent="0.25">
      <c r="F456" s="32"/>
    </row>
    <row r="457" spans="6:6" x14ac:dyDescent="0.25">
      <c r="F457" s="32"/>
    </row>
    <row r="458" spans="6:6" x14ac:dyDescent="0.25">
      <c r="F458" s="32"/>
    </row>
    <row r="459" spans="6:6" x14ac:dyDescent="0.25">
      <c r="F459" s="32"/>
    </row>
    <row r="460" spans="6:6" x14ac:dyDescent="0.25">
      <c r="F460" s="32"/>
    </row>
    <row r="461" spans="6:6" x14ac:dyDescent="0.25">
      <c r="F461" s="32"/>
    </row>
    <row r="462" spans="6:6" x14ac:dyDescent="0.25">
      <c r="F462" s="32"/>
    </row>
    <row r="463" spans="6:6" x14ac:dyDescent="0.25">
      <c r="F463" s="32"/>
    </row>
    <row r="464" spans="6:6" x14ac:dyDescent="0.25">
      <c r="F464" s="32"/>
    </row>
    <row r="465" spans="6:6" x14ac:dyDescent="0.25">
      <c r="F465" s="32"/>
    </row>
    <row r="466" spans="6:6" x14ac:dyDescent="0.25">
      <c r="F466" s="32"/>
    </row>
    <row r="467" spans="6:6" x14ac:dyDescent="0.25">
      <c r="F467" s="32"/>
    </row>
    <row r="468" spans="6:6" x14ac:dyDescent="0.25">
      <c r="F468" s="32"/>
    </row>
    <row r="469" spans="6:6" x14ac:dyDescent="0.25">
      <c r="F469" s="32"/>
    </row>
    <row r="470" spans="6:6" x14ac:dyDescent="0.25">
      <c r="F470" s="32"/>
    </row>
    <row r="471" spans="6:6" x14ac:dyDescent="0.25">
      <c r="F471" s="32"/>
    </row>
    <row r="472" spans="6:6" x14ac:dyDescent="0.25">
      <c r="F472" s="32"/>
    </row>
    <row r="473" spans="6:6" x14ac:dyDescent="0.25">
      <c r="F473" s="32"/>
    </row>
    <row r="474" spans="6:6" x14ac:dyDescent="0.25">
      <c r="F474" s="32"/>
    </row>
    <row r="475" spans="6:6" x14ac:dyDescent="0.25">
      <c r="F475" s="32"/>
    </row>
    <row r="476" spans="6:6" x14ac:dyDescent="0.25">
      <c r="F476" s="32"/>
    </row>
    <row r="477" spans="6:6" x14ac:dyDescent="0.25">
      <c r="F477" s="32"/>
    </row>
    <row r="478" spans="6:6" x14ac:dyDescent="0.25">
      <c r="F478" s="32"/>
    </row>
    <row r="479" spans="6:6" x14ac:dyDescent="0.25">
      <c r="F479" s="32"/>
    </row>
    <row r="482" spans="6:6" x14ac:dyDescent="0.25">
      <c r="F482" s="32"/>
    </row>
    <row r="483" spans="6:6" x14ac:dyDescent="0.25">
      <c r="F483" s="32"/>
    </row>
    <row r="484" spans="6:6" x14ac:dyDescent="0.25">
      <c r="F484" s="32"/>
    </row>
    <row r="485" spans="6:6" x14ac:dyDescent="0.25">
      <c r="F485" s="32"/>
    </row>
    <row r="486" spans="6:6" x14ac:dyDescent="0.25">
      <c r="F486" s="32"/>
    </row>
    <row r="487" spans="6:6" x14ac:dyDescent="0.25">
      <c r="F487" s="32"/>
    </row>
    <row r="488" spans="6:6" x14ac:dyDescent="0.25">
      <c r="F488" s="32"/>
    </row>
    <row r="489" spans="6:6" x14ac:dyDescent="0.25">
      <c r="F489" s="32"/>
    </row>
    <row r="490" spans="6:6" x14ac:dyDescent="0.25">
      <c r="F490" s="32"/>
    </row>
    <row r="491" spans="6:6" x14ac:dyDescent="0.25">
      <c r="F491" s="32"/>
    </row>
    <row r="492" spans="6:6" x14ac:dyDescent="0.25">
      <c r="F492" s="32"/>
    </row>
    <row r="493" spans="6:6" x14ac:dyDescent="0.25">
      <c r="F493" s="32"/>
    </row>
    <row r="494" spans="6:6" x14ac:dyDescent="0.25">
      <c r="F494" s="32"/>
    </row>
    <row r="495" spans="6:6" x14ac:dyDescent="0.25">
      <c r="F495" s="32"/>
    </row>
    <row r="496" spans="6:6" x14ac:dyDescent="0.25">
      <c r="F496" s="32"/>
    </row>
    <row r="497" spans="6:6" x14ac:dyDescent="0.25">
      <c r="F497" s="32"/>
    </row>
    <row r="498" spans="6:6" x14ac:dyDescent="0.25">
      <c r="F498" s="32"/>
    </row>
    <row r="499" spans="6:6" x14ac:dyDescent="0.25">
      <c r="F499" s="32"/>
    </row>
    <row r="500" spans="6:6" x14ac:dyDescent="0.25">
      <c r="F500" s="32"/>
    </row>
    <row r="501" spans="6:6" x14ac:dyDescent="0.25">
      <c r="F501" s="32"/>
    </row>
    <row r="502" spans="6:6" x14ac:dyDescent="0.25">
      <c r="F502" s="32"/>
    </row>
    <row r="503" spans="6:6" x14ac:dyDescent="0.25">
      <c r="F503" s="32"/>
    </row>
    <row r="504" spans="6:6" x14ac:dyDescent="0.25">
      <c r="F504" s="32"/>
    </row>
    <row r="505" spans="6:6" x14ac:dyDescent="0.25">
      <c r="F505" s="32"/>
    </row>
    <row r="506" spans="6:6" x14ac:dyDescent="0.25">
      <c r="F506" s="32"/>
    </row>
    <row r="507" spans="6:6" x14ac:dyDescent="0.25">
      <c r="F507" s="32"/>
    </row>
    <row r="508" spans="6:6" x14ac:dyDescent="0.25">
      <c r="F508" s="32"/>
    </row>
    <row r="509" spans="6:6" x14ac:dyDescent="0.25">
      <c r="F509" s="32"/>
    </row>
    <row r="510" spans="6:6" x14ac:dyDescent="0.25">
      <c r="F510" s="32"/>
    </row>
    <row r="511" spans="6:6" x14ac:dyDescent="0.25">
      <c r="F511" s="32"/>
    </row>
    <row r="512" spans="6:6" x14ac:dyDescent="0.25">
      <c r="F512" s="32"/>
    </row>
    <row r="513" spans="6:6" x14ac:dyDescent="0.25">
      <c r="F513" s="32"/>
    </row>
    <row r="514" spans="6:6" x14ac:dyDescent="0.25">
      <c r="F514" s="32"/>
    </row>
    <row r="515" spans="6:6" x14ac:dyDescent="0.25">
      <c r="F515" s="32"/>
    </row>
    <row r="516" spans="6:6" x14ac:dyDescent="0.25">
      <c r="F516" s="32"/>
    </row>
    <row r="517" spans="6:6" x14ac:dyDescent="0.25">
      <c r="F517" s="32"/>
    </row>
    <row r="518" spans="6:6" x14ac:dyDescent="0.25">
      <c r="F518" s="32"/>
    </row>
    <row r="519" spans="6:6" x14ac:dyDescent="0.25">
      <c r="F519" s="32"/>
    </row>
    <row r="520" spans="6:6" x14ac:dyDescent="0.25">
      <c r="F520" s="32"/>
    </row>
    <row r="521" spans="6:6" x14ac:dyDescent="0.25">
      <c r="F521" s="32"/>
    </row>
    <row r="522" spans="6:6" x14ac:dyDescent="0.25">
      <c r="F522" s="32"/>
    </row>
    <row r="523" spans="6:6" x14ac:dyDescent="0.25">
      <c r="F523" s="32"/>
    </row>
    <row r="524" spans="6:6" x14ac:dyDescent="0.25">
      <c r="F524" s="32"/>
    </row>
    <row r="525" spans="6:6" x14ac:dyDescent="0.25">
      <c r="F525" s="32"/>
    </row>
    <row r="526" spans="6:6" x14ac:dyDescent="0.25">
      <c r="F526" s="32"/>
    </row>
    <row r="527" spans="6:6" x14ac:dyDescent="0.25">
      <c r="F527" s="32"/>
    </row>
    <row r="528" spans="6:6" x14ac:dyDescent="0.25">
      <c r="F528" s="32"/>
    </row>
    <row r="529" spans="6:6" x14ac:dyDescent="0.25">
      <c r="F529" s="32"/>
    </row>
    <row r="530" spans="6:6" x14ac:dyDescent="0.25">
      <c r="F530" s="32"/>
    </row>
    <row r="531" spans="6:6" x14ac:dyDescent="0.25">
      <c r="F531" s="32"/>
    </row>
    <row r="532" spans="6:6" x14ac:dyDescent="0.25">
      <c r="F532" s="32"/>
    </row>
    <row r="533" spans="6:6" x14ac:dyDescent="0.25">
      <c r="F533" s="32"/>
    </row>
    <row r="534" spans="6:6" x14ac:dyDescent="0.25">
      <c r="F534" s="32"/>
    </row>
    <row r="535" spans="6:6" x14ac:dyDescent="0.25">
      <c r="F535" s="32"/>
    </row>
    <row r="536" spans="6:6" x14ac:dyDescent="0.25">
      <c r="F536" s="32"/>
    </row>
    <row r="537" spans="6:6" x14ac:dyDescent="0.25">
      <c r="F537" s="32"/>
    </row>
    <row r="538" spans="6:6" x14ac:dyDescent="0.25">
      <c r="F538" s="32"/>
    </row>
    <row r="539" spans="6:6" x14ac:dyDescent="0.25">
      <c r="F539" s="32"/>
    </row>
    <row r="540" spans="6:6" x14ac:dyDescent="0.25">
      <c r="F540" s="32"/>
    </row>
    <row r="541" spans="6:6" x14ac:dyDescent="0.25">
      <c r="F541" s="32"/>
    </row>
    <row r="542" spans="6:6" x14ac:dyDescent="0.25">
      <c r="F542" s="32"/>
    </row>
    <row r="543" spans="6:6" x14ac:dyDescent="0.25">
      <c r="F543" s="32"/>
    </row>
    <row r="544" spans="6:6" x14ac:dyDescent="0.25">
      <c r="F544" s="32"/>
    </row>
    <row r="545" spans="6:6" x14ac:dyDescent="0.25">
      <c r="F545" s="32"/>
    </row>
    <row r="546" spans="6:6" x14ac:dyDescent="0.25">
      <c r="F546" s="32"/>
    </row>
    <row r="547" spans="6:6" x14ac:dyDescent="0.25">
      <c r="F547" s="32"/>
    </row>
    <row r="548" spans="6:6" x14ac:dyDescent="0.25">
      <c r="F548" s="32"/>
    </row>
    <row r="549" spans="6:6" x14ac:dyDescent="0.25">
      <c r="F549" s="32"/>
    </row>
    <row r="550" spans="6:6" x14ac:dyDescent="0.25">
      <c r="F550" s="32"/>
    </row>
    <row r="551" spans="6:6" x14ac:dyDescent="0.25">
      <c r="F551" s="32"/>
    </row>
    <row r="552" spans="6:6" x14ac:dyDescent="0.25">
      <c r="F552" s="32"/>
    </row>
    <row r="553" spans="6:6" x14ac:dyDescent="0.25">
      <c r="F553" s="32"/>
    </row>
    <row r="554" spans="6:6" x14ac:dyDescent="0.25">
      <c r="F554" s="32"/>
    </row>
    <row r="555" spans="6:6" x14ac:dyDescent="0.25">
      <c r="F555" s="32"/>
    </row>
    <row r="556" spans="6:6" x14ac:dyDescent="0.25">
      <c r="F556" s="32"/>
    </row>
    <row r="557" spans="6:6" x14ac:dyDescent="0.25">
      <c r="F557" s="32"/>
    </row>
    <row r="558" spans="6:6" x14ac:dyDescent="0.25">
      <c r="F558" s="32"/>
    </row>
    <row r="559" spans="6:6" x14ac:dyDescent="0.25">
      <c r="F559" s="32"/>
    </row>
    <row r="560" spans="6:6" x14ac:dyDescent="0.25">
      <c r="F560" s="32"/>
    </row>
    <row r="561" spans="6:6" x14ac:dyDescent="0.25">
      <c r="F561" s="32"/>
    </row>
    <row r="562" spans="6:6" x14ac:dyDescent="0.25">
      <c r="F562" s="32"/>
    </row>
    <row r="563" spans="6:6" x14ac:dyDescent="0.25">
      <c r="F563" s="32"/>
    </row>
    <row r="564" spans="6:6" x14ac:dyDescent="0.25">
      <c r="F564" s="32"/>
    </row>
    <row r="565" spans="6:6" x14ac:dyDescent="0.25">
      <c r="F565" s="32"/>
    </row>
    <row r="566" spans="6:6" x14ac:dyDescent="0.25">
      <c r="F566" s="32"/>
    </row>
    <row r="567" spans="6:6" x14ac:dyDescent="0.25">
      <c r="F567" s="32"/>
    </row>
    <row r="568" spans="6:6" x14ac:dyDescent="0.25">
      <c r="F568" s="32"/>
    </row>
    <row r="569" spans="6:6" x14ac:dyDescent="0.25">
      <c r="F569" s="32"/>
    </row>
    <row r="570" spans="6:6" x14ac:dyDescent="0.25">
      <c r="F570" s="32"/>
    </row>
    <row r="571" spans="6:6" x14ac:dyDescent="0.25">
      <c r="F571" s="32"/>
    </row>
    <row r="572" spans="6:6" x14ac:dyDescent="0.25">
      <c r="F572" s="32"/>
    </row>
    <row r="573" spans="6:6" x14ac:dyDescent="0.25">
      <c r="F573" s="32"/>
    </row>
    <row r="574" spans="6:6" x14ac:dyDescent="0.25">
      <c r="F574" s="32"/>
    </row>
    <row r="575" spans="6:6" x14ac:dyDescent="0.25">
      <c r="F575" s="32"/>
    </row>
    <row r="576" spans="6:6" x14ac:dyDescent="0.25">
      <c r="F576" s="32"/>
    </row>
    <row r="577" spans="6:6" x14ac:dyDescent="0.25">
      <c r="F577" s="32"/>
    </row>
    <row r="578" spans="6:6" x14ac:dyDescent="0.25">
      <c r="F578" s="32"/>
    </row>
    <row r="579" spans="6:6" x14ac:dyDescent="0.25">
      <c r="F579" s="32"/>
    </row>
    <row r="580" spans="6:6" x14ac:dyDescent="0.25">
      <c r="F580" s="32"/>
    </row>
    <row r="581" spans="6:6" x14ac:dyDescent="0.25">
      <c r="F581" s="32"/>
    </row>
    <row r="582" spans="6:6" x14ac:dyDescent="0.25">
      <c r="F582" s="32"/>
    </row>
    <row r="583" spans="6:6" x14ac:dyDescent="0.25">
      <c r="F583" s="32"/>
    </row>
    <row r="584" spans="6:6" x14ac:dyDescent="0.25">
      <c r="F584" s="32"/>
    </row>
    <row r="622" spans="6:6" x14ac:dyDescent="0.25">
      <c r="F622" s="32"/>
    </row>
    <row r="623" spans="6:6" x14ac:dyDescent="0.25">
      <c r="F623" s="32"/>
    </row>
    <row r="624" spans="6:6" x14ac:dyDescent="0.25">
      <c r="F624" s="32"/>
    </row>
    <row r="625" spans="6:6" x14ac:dyDescent="0.25">
      <c r="F625" s="32"/>
    </row>
    <row r="626" spans="6:6" x14ac:dyDescent="0.25">
      <c r="F626" s="32"/>
    </row>
    <row r="627" spans="6:6" x14ac:dyDescent="0.25">
      <c r="F627" s="32"/>
    </row>
    <row r="628" spans="6:6" x14ac:dyDescent="0.25">
      <c r="F628" s="32"/>
    </row>
    <row r="629" spans="6:6" x14ac:dyDescent="0.25">
      <c r="F629" s="32"/>
    </row>
    <row r="630" spans="6:6" x14ac:dyDescent="0.25">
      <c r="F630" s="32"/>
    </row>
    <row r="631" spans="6:6" x14ac:dyDescent="0.25">
      <c r="F631" s="32"/>
    </row>
    <row r="632" spans="6:6" x14ac:dyDescent="0.25">
      <c r="F632" s="32"/>
    </row>
    <row r="633" spans="6:6" x14ac:dyDescent="0.25">
      <c r="F633" s="32"/>
    </row>
    <row r="634" spans="6:6" x14ac:dyDescent="0.25">
      <c r="F634" s="32"/>
    </row>
    <row r="635" spans="6:6" x14ac:dyDescent="0.25">
      <c r="F635" s="32"/>
    </row>
    <row r="636" spans="6:6" x14ac:dyDescent="0.25">
      <c r="F636" s="32"/>
    </row>
    <row r="637" spans="6:6" x14ac:dyDescent="0.25">
      <c r="F637" s="32"/>
    </row>
    <row r="638" spans="6:6" x14ac:dyDescent="0.25">
      <c r="F638" s="32"/>
    </row>
    <row r="639" spans="6:6" x14ac:dyDescent="0.25">
      <c r="F639" s="32"/>
    </row>
    <row r="640" spans="6:6" x14ac:dyDescent="0.25">
      <c r="F640" s="32"/>
    </row>
    <row r="641" spans="6:6" x14ac:dyDescent="0.25">
      <c r="F641" s="32"/>
    </row>
    <row r="642" spans="6:6" x14ac:dyDescent="0.25">
      <c r="F642" s="32"/>
    </row>
    <row r="643" spans="6:6" x14ac:dyDescent="0.25">
      <c r="F643" s="32"/>
    </row>
    <row r="644" spans="6:6" x14ac:dyDescent="0.25">
      <c r="F644" s="32"/>
    </row>
    <row r="645" spans="6:6" x14ac:dyDescent="0.25">
      <c r="F645" s="32"/>
    </row>
    <row r="646" spans="6:6" x14ac:dyDescent="0.25">
      <c r="F646" s="32"/>
    </row>
    <row r="647" spans="6:6" x14ac:dyDescent="0.25">
      <c r="F647" s="32"/>
    </row>
    <row r="648" spans="6:6" x14ac:dyDescent="0.25">
      <c r="F648" s="32"/>
    </row>
    <row r="649" spans="6:6" x14ac:dyDescent="0.25">
      <c r="F649" s="32"/>
    </row>
    <row r="650" spans="6:6" x14ac:dyDescent="0.25">
      <c r="F650" s="32"/>
    </row>
    <row r="651" spans="6:6" x14ac:dyDescent="0.25">
      <c r="F651" s="32"/>
    </row>
    <row r="652" spans="6:6" x14ac:dyDescent="0.25">
      <c r="F652" s="32"/>
    </row>
    <row r="653" spans="6:6" x14ac:dyDescent="0.25">
      <c r="F653" s="32"/>
    </row>
    <row r="654" spans="6:6" x14ac:dyDescent="0.25">
      <c r="F654" s="32"/>
    </row>
    <row r="655" spans="6:6" x14ac:dyDescent="0.25">
      <c r="F655" s="32"/>
    </row>
    <row r="656" spans="6:6" x14ac:dyDescent="0.25">
      <c r="F656" s="32"/>
    </row>
    <row r="657" spans="6:6" x14ac:dyDescent="0.25">
      <c r="F657" s="32"/>
    </row>
    <row r="658" spans="6:6" x14ac:dyDescent="0.25">
      <c r="F658" s="32"/>
    </row>
    <row r="659" spans="6:6" x14ac:dyDescent="0.25">
      <c r="F659" s="32"/>
    </row>
    <row r="660" spans="6:6" x14ac:dyDescent="0.25">
      <c r="F660" s="32"/>
    </row>
    <row r="661" spans="6:6" x14ac:dyDescent="0.25">
      <c r="F661" s="32"/>
    </row>
    <row r="662" spans="6:6" x14ac:dyDescent="0.25">
      <c r="F662" s="32"/>
    </row>
    <row r="663" spans="6:6" x14ac:dyDescent="0.25">
      <c r="F663" s="32"/>
    </row>
    <row r="664" spans="6:6" x14ac:dyDescent="0.25">
      <c r="F664" s="32"/>
    </row>
    <row r="665" spans="6:6" x14ac:dyDescent="0.25">
      <c r="F665" s="32"/>
    </row>
    <row r="666" spans="6:6" x14ac:dyDescent="0.25">
      <c r="F666" s="32"/>
    </row>
    <row r="667" spans="6:6" x14ac:dyDescent="0.25">
      <c r="F667" s="32"/>
    </row>
    <row r="668" spans="6:6" x14ac:dyDescent="0.25">
      <c r="F668" s="32"/>
    </row>
    <row r="669" spans="6:6" x14ac:dyDescent="0.25">
      <c r="F669" s="32"/>
    </row>
    <row r="670" spans="6:6" x14ac:dyDescent="0.25">
      <c r="F670" s="32"/>
    </row>
    <row r="671" spans="6:6" x14ac:dyDescent="0.25">
      <c r="F671" s="32"/>
    </row>
    <row r="672" spans="6:6" x14ac:dyDescent="0.25">
      <c r="F672" s="32"/>
    </row>
    <row r="673" spans="6:6" x14ac:dyDescent="0.25">
      <c r="F673" s="32"/>
    </row>
    <row r="674" spans="6:6" x14ac:dyDescent="0.25">
      <c r="F674" s="32"/>
    </row>
    <row r="675" spans="6:6" x14ac:dyDescent="0.25">
      <c r="F675" s="32"/>
    </row>
    <row r="676" spans="6:6" x14ac:dyDescent="0.25">
      <c r="F676" s="32"/>
    </row>
    <row r="677" spans="6:6" x14ac:dyDescent="0.25">
      <c r="F677" s="32"/>
    </row>
    <row r="678" spans="6:6" x14ac:dyDescent="0.25">
      <c r="F678" s="32"/>
    </row>
    <row r="679" spans="6:6" x14ac:dyDescent="0.25">
      <c r="F679" s="32"/>
    </row>
    <row r="680" spans="6:6" x14ac:dyDescent="0.25">
      <c r="F680" s="32"/>
    </row>
    <row r="681" spans="6:6" x14ac:dyDescent="0.25">
      <c r="F681" s="32"/>
    </row>
    <row r="682" spans="6:6" x14ac:dyDescent="0.25">
      <c r="F682" s="32"/>
    </row>
    <row r="683" spans="6:6" x14ac:dyDescent="0.25">
      <c r="F683" s="32"/>
    </row>
    <row r="684" spans="6:6" x14ac:dyDescent="0.25">
      <c r="F684" s="32"/>
    </row>
    <row r="685" spans="6:6" x14ac:dyDescent="0.25">
      <c r="F685" s="32"/>
    </row>
    <row r="686" spans="6:6" x14ac:dyDescent="0.25">
      <c r="F686" s="32"/>
    </row>
    <row r="687" spans="6:6" x14ac:dyDescent="0.25">
      <c r="F687" s="32"/>
    </row>
    <row r="688" spans="6:6" x14ac:dyDescent="0.25">
      <c r="F688" s="32"/>
    </row>
    <row r="689" spans="6:6" x14ac:dyDescent="0.25">
      <c r="F689" s="32"/>
    </row>
    <row r="690" spans="6:6" x14ac:dyDescent="0.25">
      <c r="F690" s="32"/>
    </row>
    <row r="691" spans="6:6" x14ac:dyDescent="0.25">
      <c r="F691" s="32"/>
    </row>
    <row r="692" spans="6:6" x14ac:dyDescent="0.25">
      <c r="F692" s="32"/>
    </row>
    <row r="693" spans="6:6" x14ac:dyDescent="0.25">
      <c r="F693" s="32"/>
    </row>
    <row r="694" spans="6:6" x14ac:dyDescent="0.25">
      <c r="F694" s="32"/>
    </row>
    <row r="695" spans="6:6" x14ac:dyDescent="0.25">
      <c r="F695" s="32"/>
    </row>
    <row r="696" spans="6:6" x14ac:dyDescent="0.25">
      <c r="F696" s="32"/>
    </row>
    <row r="697" spans="6:6" x14ac:dyDescent="0.25">
      <c r="F697" s="32"/>
    </row>
    <row r="698" spans="6:6" x14ac:dyDescent="0.25">
      <c r="F698" s="32"/>
    </row>
    <row r="699" spans="6:6" x14ac:dyDescent="0.25">
      <c r="F699" s="32"/>
    </row>
    <row r="700" spans="6:6" x14ac:dyDescent="0.25">
      <c r="F700" s="32"/>
    </row>
    <row r="701" spans="6:6" x14ac:dyDescent="0.25">
      <c r="F701" s="32"/>
    </row>
    <row r="702" spans="6:6" x14ac:dyDescent="0.25">
      <c r="F702" s="32"/>
    </row>
    <row r="703" spans="6:6" x14ac:dyDescent="0.25">
      <c r="F703" s="32"/>
    </row>
    <row r="704" spans="6:6" x14ac:dyDescent="0.25">
      <c r="F704" s="32"/>
    </row>
    <row r="705" spans="6:6" x14ac:dyDescent="0.25">
      <c r="F705" s="32"/>
    </row>
    <row r="706" spans="6:6" x14ac:dyDescent="0.25">
      <c r="F706" s="32"/>
    </row>
    <row r="707" spans="6:6" x14ac:dyDescent="0.25">
      <c r="F707" s="32"/>
    </row>
    <row r="708" spans="6:6" x14ac:dyDescent="0.25">
      <c r="F708" s="32"/>
    </row>
    <row r="709" spans="6:6" x14ac:dyDescent="0.25">
      <c r="F709" s="32"/>
    </row>
    <row r="710" spans="6:6" x14ac:dyDescent="0.25">
      <c r="F710" s="32"/>
    </row>
    <row r="711" spans="6:6" x14ac:dyDescent="0.25">
      <c r="F711" s="32"/>
    </row>
    <row r="712" spans="6:6" x14ac:dyDescent="0.25">
      <c r="F712" s="32"/>
    </row>
    <row r="713" spans="6:6" x14ac:dyDescent="0.25">
      <c r="F713" s="32"/>
    </row>
    <row r="714" spans="6:6" x14ac:dyDescent="0.25">
      <c r="F714" s="32"/>
    </row>
    <row r="716" spans="6:6" x14ac:dyDescent="0.25">
      <c r="F716" s="32"/>
    </row>
    <row r="717" spans="6:6" x14ac:dyDescent="0.25">
      <c r="F717" s="32"/>
    </row>
    <row r="718" spans="6:6" x14ac:dyDescent="0.25">
      <c r="F718" s="32"/>
    </row>
    <row r="719" spans="6:6" x14ac:dyDescent="0.25">
      <c r="F719" s="32"/>
    </row>
    <row r="720" spans="6:6" x14ac:dyDescent="0.25">
      <c r="F720" s="32"/>
    </row>
    <row r="721" spans="6:6" x14ac:dyDescent="0.25">
      <c r="F721" s="32"/>
    </row>
    <row r="722" spans="6:6" x14ac:dyDescent="0.25">
      <c r="F722" s="32"/>
    </row>
    <row r="723" spans="6:6" x14ac:dyDescent="0.25">
      <c r="F723" s="32"/>
    </row>
    <row r="724" spans="6:6" x14ac:dyDescent="0.25">
      <c r="F724" s="32"/>
    </row>
    <row r="725" spans="6:6" x14ac:dyDescent="0.25">
      <c r="F725" s="32"/>
    </row>
    <row r="726" spans="6:6" x14ac:dyDescent="0.25">
      <c r="F726" s="32"/>
    </row>
    <row r="727" spans="6:6" x14ac:dyDescent="0.25">
      <c r="F727" s="32"/>
    </row>
    <row r="728" spans="6:6" x14ac:dyDescent="0.25">
      <c r="F728" s="32"/>
    </row>
    <row r="729" spans="6:6" x14ac:dyDescent="0.25">
      <c r="F729" s="32"/>
    </row>
    <row r="730" spans="6:6" x14ac:dyDescent="0.25">
      <c r="F730" s="32"/>
    </row>
    <row r="731" spans="6:6" x14ac:dyDescent="0.25">
      <c r="F731" s="32"/>
    </row>
    <row r="732" spans="6:6" x14ac:dyDescent="0.25">
      <c r="F732" s="32"/>
    </row>
    <row r="733" spans="6:6" x14ac:dyDescent="0.25">
      <c r="F733" s="32"/>
    </row>
    <row r="734" spans="6:6" x14ac:dyDescent="0.25">
      <c r="F734" s="32"/>
    </row>
    <row r="735" spans="6:6" x14ac:dyDescent="0.25">
      <c r="F735" s="32"/>
    </row>
    <row r="736" spans="6:6" x14ac:dyDescent="0.25">
      <c r="F736" s="32"/>
    </row>
    <row r="737" spans="6:6" x14ac:dyDescent="0.25">
      <c r="F737" s="32"/>
    </row>
    <row r="738" spans="6:6" x14ac:dyDescent="0.25">
      <c r="F738" s="32"/>
    </row>
    <row r="739" spans="6:6" x14ac:dyDescent="0.25">
      <c r="F739" s="32"/>
    </row>
    <row r="740" spans="6:6" x14ac:dyDescent="0.25">
      <c r="F740" s="32"/>
    </row>
    <row r="741" spans="6:6" x14ac:dyDescent="0.25">
      <c r="F741" s="32"/>
    </row>
    <row r="742" spans="6:6" x14ac:dyDescent="0.25">
      <c r="F742" s="32"/>
    </row>
    <row r="743" spans="6:6" x14ac:dyDescent="0.25">
      <c r="F743" s="32"/>
    </row>
    <row r="744" spans="6:6" x14ac:dyDescent="0.25">
      <c r="F744" s="32"/>
    </row>
    <row r="745" spans="6:6" x14ac:dyDescent="0.25">
      <c r="F745" s="32"/>
    </row>
    <row r="746" spans="6:6" x14ac:dyDescent="0.25">
      <c r="F746" s="32"/>
    </row>
    <row r="747" spans="6:6" x14ac:dyDescent="0.25">
      <c r="F747" s="32"/>
    </row>
    <row r="748" spans="6:6" x14ac:dyDescent="0.25">
      <c r="F748" s="32"/>
    </row>
    <row r="749" spans="6:6" x14ac:dyDescent="0.25">
      <c r="F749" s="32"/>
    </row>
    <row r="750" spans="6:6" x14ac:dyDescent="0.25">
      <c r="F750" s="32"/>
    </row>
    <row r="751" spans="6:6" x14ac:dyDescent="0.25">
      <c r="F751" s="32"/>
    </row>
    <row r="752" spans="6:6" x14ac:dyDescent="0.25">
      <c r="F752" s="32"/>
    </row>
    <row r="753" spans="6:6" x14ac:dyDescent="0.25">
      <c r="F753" s="32"/>
    </row>
    <row r="754" spans="6:6" x14ac:dyDescent="0.25">
      <c r="F754" s="32"/>
    </row>
    <row r="755" spans="6:6" x14ac:dyDescent="0.25">
      <c r="F755" s="32"/>
    </row>
    <row r="756" spans="6:6" x14ac:dyDescent="0.25">
      <c r="F756" s="32"/>
    </row>
    <row r="757" spans="6:6" x14ac:dyDescent="0.25">
      <c r="F757" s="32"/>
    </row>
    <row r="758" spans="6:6" x14ac:dyDescent="0.25">
      <c r="F758" s="32"/>
    </row>
    <row r="759" spans="6:6" x14ac:dyDescent="0.25">
      <c r="F759" s="32"/>
    </row>
    <row r="760" spans="6:6" x14ac:dyDescent="0.25">
      <c r="F760" s="32"/>
    </row>
    <row r="761" spans="6:6" x14ac:dyDescent="0.25">
      <c r="F761" s="32"/>
    </row>
    <row r="762" spans="6:6" x14ac:dyDescent="0.25">
      <c r="F762" s="32"/>
    </row>
    <row r="763" spans="6:6" x14ac:dyDescent="0.25">
      <c r="F763" s="32"/>
    </row>
    <row r="764" spans="6:6" x14ac:dyDescent="0.25">
      <c r="F764" s="32"/>
    </row>
    <row r="765" spans="6:6" x14ac:dyDescent="0.25">
      <c r="F765" s="32"/>
    </row>
    <row r="766" spans="6:6" x14ac:dyDescent="0.25">
      <c r="F766" s="32"/>
    </row>
    <row r="767" spans="6:6" x14ac:dyDescent="0.25">
      <c r="F767" s="32"/>
    </row>
    <row r="768" spans="6:6" x14ac:dyDescent="0.25">
      <c r="F768" s="32"/>
    </row>
    <row r="769" spans="6:6" x14ac:dyDescent="0.25">
      <c r="F769" s="32"/>
    </row>
    <row r="770" spans="6:6" x14ac:dyDescent="0.25">
      <c r="F770" s="32"/>
    </row>
    <row r="771" spans="6:6" x14ac:dyDescent="0.25">
      <c r="F771" s="32"/>
    </row>
    <row r="772" spans="6:6" x14ac:dyDescent="0.25">
      <c r="F772" s="32"/>
    </row>
    <row r="773" spans="6:6" x14ac:dyDescent="0.25">
      <c r="F773" s="32"/>
    </row>
    <row r="774" spans="6:6" x14ac:dyDescent="0.25">
      <c r="F774" s="32"/>
    </row>
    <row r="775" spans="6:6" x14ac:dyDescent="0.25">
      <c r="F775" s="32"/>
    </row>
    <row r="776" spans="6:6" x14ac:dyDescent="0.25">
      <c r="F776" s="32"/>
    </row>
    <row r="777" spans="6:6" x14ac:dyDescent="0.25">
      <c r="F777" s="32"/>
    </row>
    <row r="778" spans="6:6" x14ac:dyDescent="0.25">
      <c r="F778" s="32"/>
    </row>
    <row r="779" spans="6:6" x14ac:dyDescent="0.25">
      <c r="F779" s="32"/>
    </row>
    <row r="780" spans="6:6" x14ac:dyDescent="0.25">
      <c r="F780" s="32"/>
    </row>
    <row r="781" spans="6:6" x14ac:dyDescent="0.25">
      <c r="F781" s="32"/>
    </row>
    <row r="782" spans="6:6" x14ac:dyDescent="0.25">
      <c r="F782" s="32"/>
    </row>
    <row r="783" spans="6:6" x14ac:dyDescent="0.25">
      <c r="F783" s="32"/>
    </row>
    <row r="784" spans="6:6" x14ac:dyDescent="0.25">
      <c r="F784" s="32"/>
    </row>
    <row r="785" spans="6:6" x14ac:dyDescent="0.25">
      <c r="F785" s="32"/>
    </row>
    <row r="786" spans="6:6" x14ac:dyDescent="0.25">
      <c r="F786" s="32"/>
    </row>
    <row r="787" spans="6:6" x14ac:dyDescent="0.25">
      <c r="F787" s="32"/>
    </row>
    <row r="788" spans="6:6" x14ac:dyDescent="0.25">
      <c r="F788" s="32"/>
    </row>
    <row r="789" spans="6:6" x14ac:dyDescent="0.25">
      <c r="F789" s="32"/>
    </row>
    <row r="790" spans="6:6" x14ac:dyDescent="0.25">
      <c r="F790" s="32"/>
    </row>
    <row r="791" spans="6:6" x14ac:dyDescent="0.25">
      <c r="F791" s="32"/>
    </row>
    <row r="792" spans="6:6" x14ac:dyDescent="0.25">
      <c r="F792" s="32"/>
    </row>
    <row r="793" spans="6:6" x14ac:dyDescent="0.25">
      <c r="F793" s="32"/>
    </row>
    <row r="794" spans="6:6" x14ac:dyDescent="0.25">
      <c r="F794" s="32"/>
    </row>
    <row r="795" spans="6:6" x14ac:dyDescent="0.25">
      <c r="F795" s="32"/>
    </row>
    <row r="796" spans="6:6" x14ac:dyDescent="0.25">
      <c r="F796" s="32"/>
    </row>
    <row r="797" spans="6:6" x14ac:dyDescent="0.25">
      <c r="F797" s="32"/>
    </row>
    <row r="798" spans="6:6" x14ac:dyDescent="0.25">
      <c r="F798" s="32"/>
    </row>
    <row r="799" spans="6:6" x14ac:dyDescent="0.25">
      <c r="F799" s="32"/>
    </row>
    <row r="800" spans="6:6" x14ac:dyDescent="0.25">
      <c r="F800" s="32"/>
    </row>
    <row r="801" spans="6:6" x14ac:dyDescent="0.25">
      <c r="F801" s="32"/>
    </row>
    <row r="802" spans="6:6" x14ac:dyDescent="0.25">
      <c r="F802" s="32"/>
    </row>
    <row r="803" spans="6:6" x14ac:dyDescent="0.25">
      <c r="F803" s="32"/>
    </row>
    <row r="804" spans="6:6" x14ac:dyDescent="0.25">
      <c r="F804" s="32"/>
    </row>
    <row r="805" spans="6:6" x14ac:dyDescent="0.25">
      <c r="F805" s="32"/>
    </row>
    <row r="806" spans="6:6" x14ac:dyDescent="0.25">
      <c r="F806" s="32"/>
    </row>
    <row r="807" spans="6:6" x14ac:dyDescent="0.25">
      <c r="F807" s="32"/>
    </row>
    <row r="808" spans="6:6" x14ac:dyDescent="0.25">
      <c r="F808" s="32"/>
    </row>
    <row r="809" spans="6:6" x14ac:dyDescent="0.25">
      <c r="F809" s="32"/>
    </row>
    <row r="810" spans="6:6" x14ac:dyDescent="0.25">
      <c r="F810" s="32"/>
    </row>
    <row r="811" spans="6:6" x14ac:dyDescent="0.25">
      <c r="F811" s="32"/>
    </row>
    <row r="812" spans="6:6" x14ac:dyDescent="0.25">
      <c r="F812" s="32"/>
    </row>
    <row r="813" spans="6:6" x14ac:dyDescent="0.25">
      <c r="F813" s="32"/>
    </row>
    <row r="814" spans="6:6" x14ac:dyDescent="0.25">
      <c r="F814" s="32"/>
    </row>
    <row r="815" spans="6:6" x14ac:dyDescent="0.25">
      <c r="F815" s="32"/>
    </row>
    <row r="816" spans="6:6" x14ac:dyDescent="0.25">
      <c r="F816" s="32"/>
    </row>
    <row r="817" spans="6:6" x14ac:dyDescent="0.25">
      <c r="F817" s="32"/>
    </row>
    <row r="818" spans="6:6" x14ac:dyDescent="0.25">
      <c r="F818" s="32"/>
    </row>
    <row r="819" spans="6:6" x14ac:dyDescent="0.25">
      <c r="F819" s="32"/>
    </row>
    <row r="820" spans="6:6" x14ac:dyDescent="0.25">
      <c r="F820" s="32"/>
    </row>
    <row r="821" spans="6:6" x14ac:dyDescent="0.25">
      <c r="F821" s="32"/>
    </row>
    <row r="822" spans="6:6" x14ac:dyDescent="0.25">
      <c r="F822" s="32"/>
    </row>
    <row r="823" spans="6:6" x14ac:dyDescent="0.25">
      <c r="F823" s="32"/>
    </row>
    <row r="824" spans="6:6" x14ac:dyDescent="0.25">
      <c r="F824" s="32"/>
    </row>
    <row r="825" spans="6:6" x14ac:dyDescent="0.25">
      <c r="F825" s="32"/>
    </row>
    <row r="826" spans="6:6" x14ac:dyDescent="0.25">
      <c r="F826" s="32"/>
    </row>
    <row r="827" spans="6:6" x14ac:dyDescent="0.25">
      <c r="F827" s="32"/>
    </row>
    <row r="828" spans="6:6" x14ac:dyDescent="0.25">
      <c r="F828" s="32"/>
    </row>
    <row r="829" spans="6:6" x14ac:dyDescent="0.25">
      <c r="F829" s="32"/>
    </row>
    <row r="830" spans="6:6" x14ac:dyDescent="0.25">
      <c r="F830" s="32"/>
    </row>
    <row r="831" spans="6:6" x14ac:dyDescent="0.25">
      <c r="F831" s="32"/>
    </row>
    <row r="832" spans="6:6" x14ac:dyDescent="0.25">
      <c r="F832" s="32"/>
    </row>
    <row r="833" spans="6:6" x14ac:dyDescent="0.25">
      <c r="F833" s="32"/>
    </row>
    <row r="834" spans="6:6" x14ac:dyDescent="0.25">
      <c r="F834" s="32"/>
    </row>
    <row r="835" spans="6:6" x14ac:dyDescent="0.25">
      <c r="F835" s="32"/>
    </row>
    <row r="836" spans="6:6" x14ac:dyDescent="0.25">
      <c r="F836" s="32"/>
    </row>
    <row r="837" spans="6:6" x14ac:dyDescent="0.25">
      <c r="F837" s="32"/>
    </row>
    <row r="838" spans="6:6" x14ac:dyDescent="0.25">
      <c r="F838" s="32"/>
    </row>
    <row r="839" spans="6:6" x14ac:dyDescent="0.25">
      <c r="F839" s="32"/>
    </row>
    <row r="840" spans="6:6" x14ac:dyDescent="0.25">
      <c r="F840" s="32"/>
    </row>
    <row r="841" spans="6:6" x14ac:dyDescent="0.25">
      <c r="F841" s="32"/>
    </row>
    <row r="842" spans="6:6" x14ac:dyDescent="0.25">
      <c r="F842" s="32"/>
    </row>
    <row r="843" spans="6:6" x14ac:dyDescent="0.25">
      <c r="F843" s="32"/>
    </row>
  </sheetData>
  <pageMargins left="0.7" right="0.7" top="0.75" bottom="0.75" header="0.3" footer="0.3"/>
  <pageSetup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Q248"/>
  <sheetViews>
    <sheetView workbookViewId="0">
      <selection activeCell="J10" sqref="J10"/>
    </sheetView>
  </sheetViews>
  <sheetFormatPr defaultRowHeight="15" x14ac:dyDescent="0.25"/>
  <cols>
    <col min="2" max="2" width="9.5703125" customWidth="1"/>
    <col min="10" max="10" width="16.5703125" bestFit="1" customWidth="1"/>
    <col min="11" max="11" width="14.42578125" bestFit="1" customWidth="1"/>
    <col min="16" max="16" width="16.140625" customWidth="1"/>
    <col min="17" max="17" width="12.7109375" bestFit="1" customWidth="1"/>
    <col min="18" max="18" width="9.7109375" bestFit="1" customWidth="1"/>
  </cols>
  <sheetData>
    <row r="1" spans="1:17" s="68" customFormat="1" x14ac:dyDescent="0.25">
      <c r="A1" s="68" t="s">
        <v>79</v>
      </c>
      <c r="B1" s="68" t="s">
        <v>80</v>
      </c>
      <c r="C1" s="68" t="s">
        <v>81</v>
      </c>
      <c r="D1" s="68" t="s">
        <v>82</v>
      </c>
      <c r="E1" s="68" t="s">
        <v>83</v>
      </c>
      <c r="F1" s="68" t="s">
        <v>84</v>
      </c>
      <c r="G1" s="68" t="s">
        <v>85</v>
      </c>
      <c r="H1" s="68" t="s">
        <v>86</v>
      </c>
      <c r="I1" s="68" t="s">
        <v>87</v>
      </c>
      <c r="J1" s="68" t="s">
        <v>88</v>
      </c>
      <c r="K1" s="68" t="s">
        <v>89</v>
      </c>
      <c r="L1" s="68" t="s">
        <v>90</v>
      </c>
      <c r="M1" s="68" t="s">
        <v>91</v>
      </c>
      <c r="N1" s="68" t="s">
        <v>92</v>
      </c>
      <c r="O1" s="68" t="s">
        <v>127</v>
      </c>
      <c r="P1" s="68" t="s">
        <v>93</v>
      </c>
      <c r="Q1" s="68" t="s">
        <v>98</v>
      </c>
    </row>
    <row r="2" spans="1:17" x14ac:dyDescent="0.25">
      <c r="A2" t="s">
        <v>128</v>
      </c>
      <c r="B2">
        <v>2</v>
      </c>
      <c r="C2" t="s">
        <v>183</v>
      </c>
      <c r="D2" t="s">
        <v>137</v>
      </c>
      <c r="E2" t="s">
        <v>140</v>
      </c>
      <c r="F2" t="s">
        <v>129</v>
      </c>
      <c r="G2" t="s">
        <v>73</v>
      </c>
      <c r="H2" t="s">
        <v>167</v>
      </c>
      <c r="I2" t="s">
        <v>167</v>
      </c>
      <c r="J2" s="32">
        <v>42612</v>
      </c>
      <c r="K2" s="32">
        <v>42613</v>
      </c>
      <c r="L2" t="s">
        <v>130</v>
      </c>
      <c r="M2" t="s">
        <v>131</v>
      </c>
      <c r="N2" t="s">
        <v>75</v>
      </c>
      <c r="O2" t="s">
        <v>132</v>
      </c>
      <c r="P2" t="s">
        <v>190</v>
      </c>
      <c r="Q2">
        <v>1</v>
      </c>
    </row>
    <row r="3" spans="1:17" x14ac:dyDescent="0.25">
      <c r="A3" t="s">
        <v>128</v>
      </c>
      <c r="B3">
        <v>3</v>
      </c>
      <c r="C3" t="s">
        <v>184</v>
      </c>
      <c r="D3" t="s">
        <v>137</v>
      </c>
      <c r="E3" t="s">
        <v>72</v>
      </c>
      <c r="F3" t="s">
        <v>129</v>
      </c>
      <c r="G3" t="s">
        <v>76</v>
      </c>
      <c r="H3" t="s">
        <v>167</v>
      </c>
      <c r="I3" t="s">
        <v>167</v>
      </c>
      <c r="J3" s="32">
        <v>42613</v>
      </c>
      <c r="K3" s="32"/>
      <c r="N3" t="s">
        <v>77</v>
      </c>
      <c r="O3" t="s">
        <v>132</v>
      </c>
      <c r="P3" t="s">
        <v>190</v>
      </c>
      <c r="Q3">
        <v>24</v>
      </c>
    </row>
    <row r="4" spans="1:17" x14ac:dyDescent="0.25">
      <c r="A4" t="s">
        <v>128</v>
      </c>
      <c r="B4">
        <v>4</v>
      </c>
      <c r="C4" t="s">
        <v>185</v>
      </c>
      <c r="D4" t="s">
        <v>188</v>
      </c>
      <c r="E4" t="s">
        <v>74</v>
      </c>
      <c r="F4" t="s">
        <v>129</v>
      </c>
      <c r="G4" t="s">
        <v>73</v>
      </c>
      <c r="H4" t="s">
        <v>169</v>
      </c>
      <c r="I4" t="s">
        <v>169</v>
      </c>
      <c r="J4" s="32">
        <v>42614</v>
      </c>
      <c r="K4" s="32">
        <v>42616</v>
      </c>
      <c r="L4" t="s">
        <v>130</v>
      </c>
      <c r="M4" t="s">
        <v>131</v>
      </c>
      <c r="N4" t="s">
        <v>75</v>
      </c>
      <c r="O4" t="s">
        <v>132</v>
      </c>
      <c r="P4" t="s">
        <v>191</v>
      </c>
      <c r="Q4">
        <v>2</v>
      </c>
    </row>
    <row r="5" spans="1:17" x14ac:dyDescent="0.25">
      <c r="A5" t="s">
        <v>128</v>
      </c>
      <c r="B5">
        <v>5</v>
      </c>
      <c r="C5" t="s">
        <v>186</v>
      </c>
      <c r="D5" t="s">
        <v>188</v>
      </c>
      <c r="E5" t="s">
        <v>72</v>
      </c>
      <c r="F5" t="s">
        <v>129</v>
      </c>
      <c r="G5" t="s">
        <v>76</v>
      </c>
      <c r="H5" t="s">
        <v>168</v>
      </c>
      <c r="I5" t="s">
        <v>168</v>
      </c>
      <c r="J5" s="32">
        <v>42620</v>
      </c>
      <c r="K5" s="32"/>
      <c r="L5" t="s">
        <v>133</v>
      </c>
      <c r="M5" t="s">
        <v>134</v>
      </c>
      <c r="N5" t="s">
        <v>78</v>
      </c>
      <c r="O5" t="s">
        <v>132</v>
      </c>
      <c r="P5" t="s">
        <v>191</v>
      </c>
      <c r="Q5">
        <v>15</v>
      </c>
    </row>
    <row r="6" spans="1:17" x14ac:dyDescent="0.25">
      <c r="A6" t="s">
        <v>128</v>
      </c>
      <c r="B6">
        <v>6</v>
      </c>
      <c r="C6" t="s">
        <v>187</v>
      </c>
      <c r="D6" t="s">
        <v>139</v>
      </c>
      <c r="E6" t="s">
        <v>189</v>
      </c>
      <c r="F6" t="s">
        <v>129</v>
      </c>
      <c r="G6" t="s">
        <v>73</v>
      </c>
      <c r="H6" t="s">
        <v>169</v>
      </c>
      <c r="I6" t="s">
        <v>169</v>
      </c>
      <c r="J6" s="32">
        <v>42622</v>
      </c>
      <c r="K6" s="32">
        <v>42633</v>
      </c>
      <c r="L6" t="s">
        <v>135</v>
      </c>
      <c r="M6" t="s">
        <v>136</v>
      </c>
      <c r="N6" t="s">
        <v>75</v>
      </c>
      <c r="O6" t="s">
        <v>132</v>
      </c>
      <c r="P6" t="s">
        <v>192</v>
      </c>
      <c r="Q6">
        <v>11</v>
      </c>
    </row>
    <row r="7" spans="1:17" x14ac:dyDescent="0.25">
      <c r="J7" s="32"/>
      <c r="K7" s="32"/>
    </row>
    <row r="8" spans="1:17" x14ac:dyDescent="0.25">
      <c r="J8" s="32"/>
      <c r="K8" s="32"/>
    </row>
    <row r="9" spans="1:17" x14ac:dyDescent="0.25">
      <c r="J9" s="32"/>
      <c r="K9" s="32"/>
    </row>
    <row r="10" spans="1:17" x14ac:dyDescent="0.25">
      <c r="J10" s="32"/>
      <c r="K10" s="32"/>
    </row>
    <row r="11" spans="1:17" x14ac:dyDescent="0.25">
      <c r="J11" s="32"/>
      <c r="K11" s="32"/>
    </row>
    <row r="12" spans="1:17" x14ac:dyDescent="0.25">
      <c r="J12" s="32"/>
      <c r="K12" s="32"/>
    </row>
    <row r="13" spans="1:17" x14ac:dyDescent="0.25">
      <c r="J13" s="32"/>
      <c r="K13" s="32"/>
    </row>
    <row r="14" spans="1:17" x14ac:dyDescent="0.25">
      <c r="J14" s="32"/>
      <c r="K14" s="32"/>
    </row>
    <row r="15" spans="1:17" x14ac:dyDescent="0.25">
      <c r="J15" s="32"/>
      <c r="K15" s="32"/>
    </row>
    <row r="16" spans="1:17" x14ac:dyDescent="0.25">
      <c r="J16" s="32"/>
      <c r="K16" s="32"/>
    </row>
    <row r="17" spans="10:11" x14ac:dyDescent="0.25">
      <c r="J17" s="32"/>
      <c r="K17" s="32"/>
    </row>
    <row r="18" spans="10:11" x14ac:dyDescent="0.25">
      <c r="J18" s="32"/>
      <c r="K18" s="32"/>
    </row>
    <row r="19" spans="10:11" x14ac:dyDescent="0.25">
      <c r="J19" s="32"/>
      <c r="K19" s="32"/>
    </row>
    <row r="20" spans="10:11" x14ac:dyDescent="0.25">
      <c r="J20" s="32"/>
      <c r="K20" s="32"/>
    </row>
    <row r="21" spans="10:11" x14ac:dyDescent="0.25">
      <c r="J21" s="32"/>
      <c r="K21" s="32"/>
    </row>
    <row r="22" spans="10:11" x14ac:dyDescent="0.25">
      <c r="J22" s="32"/>
      <c r="K22" s="32"/>
    </row>
    <row r="23" spans="10:11" x14ac:dyDescent="0.25">
      <c r="J23" s="32"/>
      <c r="K23" s="32"/>
    </row>
    <row r="24" spans="10:11" x14ac:dyDescent="0.25">
      <c r="J24" s="32"/>
      <c r="K24" s="32"/>
    </row>
    <row r="25" spans="10:11" x14ac:dyDescent="0.25">
      <c r="J25" s="32"/>
      <c r="K25" s="32"/>
    </row>
    <row r="26" spans="10:11" x14ac:dyDescent="0.25">
      <c r="J26" s="32"/>
      <c r="K26" s="32"/>
    </row>
    <row r="27" spans="10:11" x14ac:dyDescent="0.25">
      <c r="J27" s="32"/>
      <c r="K27" s="32"/>
    </row>
    <row r="28" spans="10:11" x14ac:dyDescent="0.25">
      <c r="J28" s="32"/>
      <c r="K28" s="32"/>
    </row>
    <row r="29" spans="10:11" x14ac:dyDescent="0.25">
      <c r="J29" s="32"/>
      <c r="K29" s="32"/>
    </row>
    <row r="30" spans="10:11" x14ac:dyDescent="0.25">
      <c r="J30" s="32"/>
      <c r="K30" s="32"/>
    </row>
    <row r="31" spans="10:11" x14ac:dyDescent="0.25">
      <c r="J31" s="32"/>
      <c r="K31" s="32"/>
    </row>
    <row r="32" spans="10:11" x14ac:dyDescent="0.25">
      <c r="J32" s="32"/>
      <c r="K32" s="32"/>
    </row>
    <row r="33" spans="10:11" x14ac:dyDescent="0.25">
      <c r="J33" s="32"/>
      <c r="K33" s="32"/>
    </row>
    <row r="34" spans="10:11" x14ac:dyDescent="0.25">
      <c r="J34" s="32"/>
      <c r="K34" s="32"/>
    </row>
    <row r="35" spans="10:11" x14ac:dyDescent="0.25">
      <c r="J35" s="32"/>
      <c r="K35" s="32"/>
    </row>
    <row r="36" spans="10:11" x14ac:dyDescent="0.25">
      <c r="J36" s="32"/>
      <c r="K36" s="32"/>
    </row>
    <row r="37" spans="10:11" x14ac:dyDescent="0.25">
      <c r="J37" s="32"/>
      <c r="K37" s="32"/>
    </row>
    <row r="38" spans="10:11" x14ac:dyDescent="0.25">
      <c r="J38" s="32"/>
      <c r="K38" s="32"/>
    </row>
    <row r="39" spans="10:11" x14ac:dyDescent="0.25">
      <c r="J39" s="32"/>
      <c r="K39" s="32"/>
    </row>
    <row r="40" spans="10:11" x14ac:dyDescent="0.25">
      <c r="J40" s="32"/>
      <c r="K40" s="32"/>
    </row>
    <row r="41" spans="10:11" x14ac:dyDescent="0.25">
      <c r="J41" s="32"/>
      <c r="K41" s="32"/>
    </row>
    <row r="42" spans="10:11" x14ac:dyDescent="0.25">
      <c r="J42" s="32"/>
      <c r="K42" s="32"/>
    </row>
    <row r="43" spans="10:11" x14ac:dyDescent="0.25">
      <c r="J43" s="32"/>
      <c r="K43" s="32"/>
    </row>
    <row r="44" spans="10:11" x14ac:dyDescent="0.25">
      <c r="J44" s="32"/>
      <c r="K44" s="32"/>
    </row>
    <row r="45" spans="10:11" x14ac:dyDescent="0.25">
      <c r="J45" s="32"/>
      <c r="K45" s="32"/>
    </row>
    <row r="46" spans="10:11" x14ac:dyDescent="0.25">
      <c r="J46" s="32"/>
      <c r="K46" s="32"/>
    </row>
    <row r="47" spans="10:11" x14ac:dyDescent="0.25">
      <c r="J47" s="32"/>
      <c r="K47" s="32"/>
    </row>
    <row r="48" spans="10:11" x14ac:dyDescent="0.25">
      <c r="J48" s="32"/>
    </row>
    <row r="49" spans="10:11" x14ac:dyDescent="0.25">
      <c r="J49" s="32"/>
      <c r="K49" s="32"/>
    </row>
    <row r="50" spans="10:11" x14ac:dyDescent="0.25">
      <c r="J50" s="32"/>
      <c r="K50" s="32"/>
    </row>
    <row r="51" spans="10:11" x14ac:dyDescent="0.25">
      <c r="J51" s="32"/>
    </row>
    <row r="52" spans="10:11" x14ac:dyDescent="0.25">
      <c r="J52" s="32"/>
      <c r="K52" s="32"/>
    </row>
    <row r="53" spans="10:11" x14ac:dyDescent="0.25">
      <c r="J53" s="32"/>
      <c r="K53" s="32"/>
    </row>
    <row r="54" spans="10:11" x14ac:dyDescent="0.25">
      <c r="J54" s="32"/>
    </row>
    <row r="55" spans="10:11" x14ac:dyDescent="0.25">
      <c r="J55" s="32"/>
      <c r="K55" s="32"/>
    </row>
    <row r="56" spans="10:11" x14ac:dyDescent="0.25">
      <c r="J56" s="32"/>
    </row>
    <row r="57" spans="10:11" x14ac:dyDescent="0.25">
      <c r="J57" s="32"/>
      <c r="K57" s="32"/>
    </row>
    <row r="58" spans="10:11" x14ac:dyDescent="0.25">
      <c r="J58" s="32"/>
      <c r="K58" s="32"/>
    </row>
    <row r="59" spans="10:11" x14ac:dyDescent="0.25">
      <c r="J59" s="32"/>
      <c r="K59" s="32"/>
    </row>
    <row r="60" spans="10:11" x14ac:dyDescent="0.25">
      <c r="J60" s="32"/>
      <c r="K60" s="32"/>
    </row>
    <row r="61" spans="10:11" x14ac:dyDescent="0.25">
      <c r="J61" s="32"/>
      <c r="K61" s="32"/>
    </row>
    <row r="62" spans="10:11" x14ac:dyDescent="0.25">
      <c r="J62" s="32"/>
      <c r="K62" s="32"/>
    </row>
    <row r="63" spans="10:11" x14ac:dyDescent="0.25">
      <c r="J63" s="32"/>
      <c r="K63" s="32"/>
    </row>
    <row r="64" spans="10:11" x14ac:dyDescent="0.25">
      <c r="J64" s="32"/>
    </row>
    <row r="65" spans="10:11" x14ac:dyDescent="0.25">
      <c r="J65" s="32"/>
      <c r="K65" s="32"/>
    </row>
    <row r="66" spans="10:11" x14ac:dyDescent="0.25">
      <c r="J66" s="32"/>
      <c r="K66" s="32"/>
    </row>
    <row r="67" spans="10:11" x14ac:dyDescent="0.25">
      <c r="J67" s="32"/>
      <c r="K67" s="32"/>
    </row>
    <row r="68" spans="10:11" x14ac:dyDescent="0.25">
      <c r="J68" s="32"/>
      <c r="K68" s="32"/>
    </row>
    <row r="69" spans="10:11" x14ac:dyDescent="0.25">
      <c r="J69" s="32"/>
      <c r="K69" s="32"/>
    </row>
    <row r="70" spans="10:11" x14ac:dyDescent="0.25">
      <c r="J70" s="32"/>
      <c r="K70" s="32"/>
    </row>
    <row r="71" spans="10:11" x14ac:dyDescent="0.25">
      <c r="J71" s="32"/>
      <c r="K71" s="32"/>
    </row>
    <row r="72" spans="10:11" x14ac:dyDescent="0.25">
      <c r="J72" s="32"/>
      <c r="K72" s="32"/>
    </row>
    <row r="73" spans="10:11" x14ac:dyDescent="0.25">
      <c r="J73" s="32"/>
      <c r="K73" s="32"/>
    </row>
    <row r="74" spans="10:11" x14ac:dyDescent="0.25">
      <c r="J74" s="32"/>
      <c r="K74" s="32"/>
    </row>
    <row r="75" spans="10:11" x14ac:dyDescent="0.25">
      <c r="J75" s="32"/>
      <c r="K75" s="32"/>
    </row>
    <row r="76" spans="10:11" x14ac:dyDescent="0.25">
      <c r="J76" s="32"/>
      <c r="K76" s="32"/>
    </row>
    <row r="77" spans="10:11" x14ac:dyDescent="0.25">
      <c r="J77" s="32"/>
      <c r="K77" s="32"/>
    </row>
    <row r="78" spans="10:11" x14ac:dyDescent="0.25">
      <c r="J78" s="32"/>
      <c r="K78" s="32"/>
    </row>
    <row r="79" spans="10:11" x14ac:dyDescent="0.25">
      <c r="J79" s="32"/>
      <c r="K79" s="32"/>
    </row>
    <row r="80" spans="10:11" x14ac:dyDescent="0.25">
      <c r="J80" s="32"/>
      <c r="K80" s="32"/>
    </row>
    <row r="81" spans="10:11" x14ac:dyDescent="0.25">
      <c r="J81" s="32"/>
      <c r="K81" s="32"/>
    </row>
    <row r="82" spans="10:11" x14ac:dyDescent="0.25">
      <c r="J82" s="32"/>
      <c r="K82" s="32"/>
    </row>
    <row r="83" spans="10:11" x14ac:dyDescent="0.25">
      <c r="J83" s="32"/>
      <c r="K83" s="32"/>
    </row>
    <row r="84" spans="10:11" x14ac:dyDescent="0.25">
      <c r="J84" s="32"/>
      <c r="K84" s="32"/>
    </row>
    <row r="85" spans="10:11" x14ac:dyDescent="0.25">
      <c r="J85" s="32"/>
      <c r="K85" s="32"/>
    </row>
    <row r="86" spans="10:11" x14ac:dyDescent="0.25">
      <c r="J86" s="32"/>
      <c r="K86" s="32"/>
    </row>
    <row r="87" spans="10:11" x14ac:dyDescent="0.25">
      <c r="J87" s="32"/>
      <c r="K87" s="32"/>
    </row>
    <row r="88" spans="10:11" x14ac:dyDescent="0.25">
      <c r="J88" s="32"/>
      <c r="K88" s="32"/>
    </row>
    <row r="89" spans="10:11" x14ac:dyDescent="0.25">
      <c r="J89" s="32"/>
      <c r="K89" s="32"/>
    </row>
    <row r="90" spans="10:11" x14ac:dyDescent="0.25">
      <c r="J90" s="32"/>
    </row>
    <row r="91" spans="10:11" x14ac:dyDescent="0.25">
      <c r="J91" s="32"/>
      <c r="K91" s="32"/>
    </row>
    <row r="92" spans="10:11" x14ac:dyDescent="0.25">
      <c r="J92" s="32"/>
      <c r="K92" s="32"/>
    </row>
    <row r="93" spans="10:11" x14ac:dyDescent="0.25">
      <c r="J93" s="32"/>
      <c r="K93" s="32"/>
    </row>
    <row r="94" spans="10:11" x14ac:dyDescent="0.25">
      <c r="J94" s="32"/>
    </row>
    <row r="95" spans="10:11" x14ac:dyDescent="0.25">
      <c r="J95" s="32"/>
      <c r="K95" s="32"/>
    </row>
    <row r="96" spans="10:11" x14ac:dyDescent="0.25">
      <c r="J96" s="32"/>
    </row>
    <row r="97" spans="10:11" x14ac:dyDescent="0.25">
      <c r="J97" s="32"/>
      <c r="K97" s="32"/>
    </row>
    <row r="98" spans="10:11" x14ac:dyDescent="0.25">
      <c r="J98" s="32"/>
      <c r="K98" s="32"/>
    </row>
    <row r="99" spans="10:11" x14ac:dyDescent="0.25">
      <c r="J99" s="32"/>
      <c r="K99" s="32"/>
    </row>
    <row r="100" spans="10:11" x14ac:dyDescent="0.25">
      <c r="J100" s="32"/>
    </row>
    <row r="101" spans="10:11" x14ac:dyDescent="0.25">
      <c r="J101" s="32"/>
      <c r="K101" s="32"/>
    </row>
    <row r="102" spans="10:11" x14ac:dyDescent="0.25">
      <c r="J102" s="32"/>
      <c r="K102" s="32"/>
    </row>
    <row r="103" spans="10:11" x14ac:dyDescent="0.25">
      <c r="J103" s="32"/>
      <c r="K103" s="32"/>
    </row>
    <row r="104" spans="10:11" x14ac:dyDescent="0.25">
      <c r="J104" s="32"/>
      <c r="K104" s="32"/>
    </row>
    <row r="105" spans="10:11" x14ac:dyDescent="0.25">
      <c r="J105" s="32"/>
      <c r="K105" s="32"/>
    </row>
    <row r="106" spans="10:11" x14ac:dyDescent="0.25">
      <c r="J106" s="32"/>
      <c r="K106" s="32"/>
    </row>
    <row r="107" spans="10:11" x14ac:dyDescent="0.25">
      <c r="J107" s="32"/>
      <c r="K107" s="32"/>
    </row>
    <row r="108" spans="10:11" x14ac:dyDescent="0.25">
      <c r="J108" s="32"/>
      <c r="K108" s="32"/>
    </row>
    <row r="109" spans="10:11" x14ac:dyDescent="0.25">
      <c r="J109" s="32"/>
      <c r="K109" s="32"/>
    </row>
    <row r="110" spans="10:11" x14ac:dyDescent="0.25">
      <c r="J110" s="32"/>
      <c r="K110" s="32"/>
    </row>
    <row r="111" spans="10:11" x14ac:dyDescent="0.25">
      <c r="J111" s="32"/>
      <c r="K111" s="32"/>
    </row>
    <row r="112" spans="10:11" x14ac:dyDescent="0.25">
      <c r="J112" s="32"/>
      <c r="K112" s="32"/>
    </row>
    <row r="113" spans="10:11" x14ac:dyDescent="0.25">
      <c r="J113" s="32"/>
      <c r="K113" s="32"/>
    </row>
    <row r="114" spans="10:11" x14ac:dyDescent="0.25">
      <c r="J114" s="32"/>
      <c r="K114" s="32"/>
    </row>
    <row r="115" spans="10:11" x14ac:dyDescent="0.25">
      <c r="J115" s="32"/>
      <c r="K115" s="32"/>
    </row>
    <row r="116" spans="10:11" x14ac:dyDescent="0.25">
      <c r="J116" s="32"/>
      <c r="K116" s="32"/>
    </row>
    <row r="117" spans="10:11" x14ac:dyDescent="0.25">
      <c r="J117" s="32"/>
      <c r="K117" s="32"/>
    </row>
    <row r="118" spans="10:11" x14ac:dyDescent="0.25">
      <c r="J118" s="32"/>
      <c r="K118" s="32"/>
    </row>
    <row r="119" spans="10:11" x14ac:dyDescent="0.25">
      <c r="J119" s="32"/>
      <c r="K119" s="32"/>
    </row>
    <row r="120" spans="10:11" x14ac:dyDescent="0.25">
      <c r="J120" s="32"/>
      <c r="K120" s="32"/>
    </row>
    <row r="121" spans="10:11" x14ac:dyDescent="0.25">
      <c r="J121" s="32"/>
      <c r="K121" s="32"/>
    </row>
    <row r="122" spans="10:11" x14ac:dyDescent="0.25">
      <c r="J122" s="32"/>
      <c r="K122" s="32"/>
    </row>
    <row r="123" spans="10:11" x14ac:dyDescent="0.25">
      <c r="J123" s="32"/>
      <c r="K123" s="32"/>
    </row>
    <row r="124" spans="10:11" x14ac:dyDescent="0.25">
      <c r="J124" s="32"/>
      <c r="K124" s="32"/>
    </row>
    <row r="125" spans="10:11" x14ac:dyDescent="0.25">
      <c r="J125" s="32"/>
    </row>
    <row r="126" spans="10:11" x14ac:dyDescent="0.25">
      <c r="J126" s="32"/>
      <c r="K126" s="32"/>
    </row>
    <row r="127" spans="10:11" x14ac:dyDescent="0.25">
      <c r="J127" s="32"/>
      <c r="K127" s="32"/>
    </row>
    <row r="128" spans="10:11" x14ac:dyDescent="0.25">
      <c r="J128" s="32"/>
      <c r="K128" s="32"/>
    </row>
    <row r="129" spans="10:11" x14ac:dyDescent="0.25">
      <c r="J129" s="32"/>
      <c r="K129" s="32"/>
    </row>
    <row r="130" spans="10:11" x14ac:dyDescent="0.25">
      <c r="J130" s="32"/>
      <c r="K130" s="32"/>
    </row>
    <row r="131" spans="10:11" x14ac:dyDescent="0.25">
      <c r="J131" s="32"/>
      <c r="K131" s="32"/>
    </row>
    <row r="132" spans="10:11" x14ac:dyDescent="0.25">
      <c r="J132" s="32"/>
      <c r="K132" s="32"/>
    </row>
    <row r="133" spans="10:11" x14ac:dyDescent="0.25">
      <c r="J133" s="32"/>
    </row>
    <row r="134" spans="10:11" x14ac:dyDescent="0.25">
      <c r="J134" s="32"/>
      <c r="K134" s="32"/>
    </row>
    <row r="135" spans="10:11" x14ac:dyDescent="0.25">
      <c r="J135" s="32"/>
      <c r="K135" s="32"/>
    </row>
    <row r="136" spans="10:11" x14ac:dyDescent="0.25">
      <c r="J136" s="32"/>
    </row>
    <row r="137" spans="10:11" x14ac:dyDescent="0.25">
      <c r="J137" s="32"/>
      <c r="K137" s="32"/>
    </row>
    <row r="138" spans="10:11" x14ac:dyDescent="0.25">
      <c r="J138" s="32"/>
      <c r="K138" s="32"/>
    </row>
    <row r="139" spans="10:11" x14ac:dyDescent="0.25">
      <c r="J139" s="32"/>
      <c r="K139" s="32"/>
    </row>
    <row r="140" spans="10:11" x14ac:dyDescent="0.25">
      <c r="J140" s="32"/>
      <c r="K140" s="32"/>
    </row>
    <row r="141" spans="10:11" x14ac:dyDescent="0.25">
      <c r="J141" s="32"/>
      <c r="K141" s="32"/>
    </row>
    <row r="142" spans="10:11" x14ac:dyDescent="0.25">
      <c r="J142" s="32"/>
      <c r="K142" s="32"/>
    </row>
    <row r="143" spans="10:11" x14ac:dyDescent="0.25">
      <c r="J143" s="32"/>
      <c r="K143" s="32"/>
    </row>
    <row r="144" spans="10:11" x14ac:dyDescent="0.25">
      <c r="J144" s="32"/>
      <c r="K144" s="32"/>
    </row>
    <row r="145" spans="10:11" x14ac:dyDescent="0.25">
      <c r="J145" s="32"/>
      <c r="K145" s="32"/>
    </row>
    <row r="146" spans="10:11" x14ac:dyDescent="0.25">
      <c r="J146" s="32"/>
      <c r="K146" s="32"/>
    </row>
    <row r="147" spans="10:11" x14ac:dyDescent="0.25">
      <c r="J147" s="32"/>
      <c r="K147" s="32"/>
    </row>
    <row r="148" spans="10:11" x14ac:dyDescent="0.25">
      <c r="J148" s="32"/>
      <c r="K148" s="32"/>
    </row>
    <row r="149" spans="10:11" x14ac:dyDescent="0.25">
      <c r="J149" s="32"/>
      <c r="K149" s="32"/>
    </row>
    <row r="150" spans="10:11" x14ac:dyDescent="0.25">
      <c r="J150" s="32"/>
      <c r="K150" s="32"/>
    </row>
    <row r="151" spans="10:11" x14ac:dyDescent="0.25">
      <c r="J151" s="32"/>
    </row>
    <row r="152" spans="10:11" x14ac:dyDescent="0.25">
      <c r="J152" s="32"/>
      <c r="K152" s="32"/>
    </row>
    <row r="153" spans="10:11" x14ac:dyDescent="0.25">
      <c r="J153" s="32"/>
      <c r="K153" s="32"/>
    </row>
    <row r="154" spans="10:11" x14ac:dyDescent="0.25">
      <c r="J154" s="32"/>
      <c r="K154" s="32"/>
    </row>
    <row r="155" spans="10:11" x14ac:dyDescent="0.25">
      <c r="J155" s="32"/>
      <c r="K155" s="32"/>
    </row>
    <row r="156" spans="10:11" x14ac:dyDescent="0.25">
      <c r="J156" s="32"/>
      <c r="K156" s="32"/>
    </row>
    <row r="157" spans="10:11" x14ac:dyDescent="0.25">
      <c r="J157" s="32"/>
      <c r="K157" s="32"/>
    </row>
    <row r="158" spans="10:11" x14ac:dyDescent="0.25">
      <c r="J158" s="32"/>
      <c r="K158" s="32"/>
    </row>
    <row r="159" spans="10:11" x14ac:dyDescent="0.25">
      <c r="J159" s="32"/>
      <c r="K159" s="32"/>
    </row>
    <row r="160" spans="10:11" x14ac:dyDescent="0.25">
      <c r="J160" s="32"/>
      <c r="K160" s="32"/>
    </row>
    <row r="161" spans="10:11" x14ac:dyDescent="0.25">
      <c r="J161" s="32"/>
      <c r="K161" s="32"/>
    </row>
    <row r="162" spans="10:11" x14ac:dyDescent="0.25">
      <c r="J162" s="32"/>
      <c r="K162" s="32"/>
    </row>
    <row r="163" spans="10:11" x14ac:dyDescent="0.25">
      <c r="J163" s="32"/>
      <c r="K163" s="32"/>
    </row>
    <row r="164" spans="10:11" x14ac:dyDescent="0.25">
      <c r="J164" s="32"/>
      <c r="K164" s="32"/>
    </row>
    <row r="165" spans="10:11" x14ac:dyDescent="0.25">
      <c r="J165" s="32"/>
      <c r="K165" s="32"/>
    </row>
    <row r="166" spans="10:11" x14ac:dyDescent="0.25">
      <c r="J166" s="32"/>
      <c r="K166" s="32"/>
    </row>
    <row r="167" spans="10:11" x14ac:dyDescent="0.25">
      <c r="J167" s="32"/>
      <c r="K167" s="32"/>
    </row>
    <row r="168" spans="10:11" x14ac:dyDescent="0.25">
      <c r="J168" s="32"/>
      <c r="K168" s="32"/>
    </row>
    <row r="169" spans="10:11" x14ac:dyDescent="0.25">
      <c r="J169" s="32"/>
      <c r="K169" s="32"/>
    </row>
    <row r="170" spans="10:11" x14ac:dyDescent="0.25">
      <c r="J170" s="32"/>
      <c r="K170" s="32"/>
    </row>
    <row r="171" spans="10:11" x14ac:dyDescent="0.25">
      <c r="J171" s="32"/>
      <c r="K171" s="32"/>
    </row>
    <row r="172" spans="10:11" x14ac:dyDescent="0.25">
      <c r="J172" s="32"/>
      <c r="K172" s="32"/>
    </row>
    <row r="173" spans="10:11" x14ac:dyDescent="0.25">
      <c r="J173" s="32"/>
      <c r="K173" s="32"/>
    </row>
    <row r="174" spans="10:11" x14ac:dyDescent="0.25">
      <c r="J174" s="32"/>
    </row>
    <row r="175" spans="10:11" x14ac:dyDescent="0.25">
      <c r="J175" s="32"/>
      <c r="K175" s="32"/>
    </row>
    <row r="176" spans="10:11" x14ac:dyDescent="0.25">
      <c r="J176" s="32"/>
    </row>
    <row r="177" spans="10:11" x14ac:dyDescent="0.25">
      <c r="J177" s="32"/>
      <c r="K177" s="32"/>
    </row>
    <row r="178" spans="10:11" x14ac:dyDescent="0.25">
      <c r="J178" s="32"/>
      <c r="K178" s="32"/>
    </row>
    <row r="179" spans="10:11" x14ac:dyDescent="0.25">
      <c r="J179" s="32"/>
      <c r="K179" s="32"/>
    </row>
    <row r="180" spans="10:11" x14ac:dyDescent="0.25">
      <c r="J180" s="32"/>
      <c r="K180" s="32"/>
    </row>
    <row r="181" spans="10:11" x14ac:dyDescent="0.25">
      <c r="J181" s="32"/>
      <c r="K181" s="32"/>
    </row>
    <row r="182" spans="10:11" x14ac:dyDescent="0.25">
      <c r="J182" s="32"/>
      <c r="K182" s="32"/>
    </row>
    <row r="183" spans="10:11" x14ac:dyDescent="0.25">
      <c r="J183" s="32"/>
      <c r="K183" s="32"/>
    </row>
    <row r="184" spans="10:11" x14ac:dyDescent="0.25">
      <c r="J184" s="32"/>
      <c r="K184" s="32"/>
    </row>
    <row r="185" spans="10:11" x14ac:dyDescent="0.25">
      <c r="J185" s="32"/>
      <c r="K185" s="32"/>
    </row>
    <row r="186" spans="10:11" x14ac:dyDescent="0.25">
      <c r="J186" s="32"/>
    </row>
    <row r="187" spans="10:11" x14ac:dyDescent="0.25">
      <c r="J187" s="32"/>
    </row>
    <row r="188" spans="10:11" x14ac:dyDescent="0.25">
      <c r="J188" s="32"/>
      <c r="K188" s="32"/>
    </row>
    <row r="189" spans="10:11" x14ac:dyDescent="0.25">
      <c r="J189" s="32"/>
    </row>
    <row r="190" spans="10:11" x14ac:dyDescent="0.25">
      <c r="J190" s="32"/>
      <c r="K190" s="32"/>
    </row>
    <row r="191" spans="10:11" x14ac:dyDescent="0.25">
      <c r="J191" s="32"/>
      <c r="K191" s="32"/>
    </row>
    <row r="192" spans="10:11" x14ac:dyDescent="0.25">
      <c r="J192" s="32"/>
      <c r="K192" s="32"/>
    </row>
    <row r="193" spans="10:11" x14ac:dyDescent="0.25">
      <c r="J193" s="32"/>
      <c r="K193" s="32"/>
    </row>
    <row r="194" spans="10:11" x14ac:dyDescent="0.25">
      <c r="J194" s="32"/>
      <c r="K194" s="32"/>
    </row>
    <row r="195" spans="10:11" x14ac:dyDescent="0.25">
      <c r="J195" s="32"/>
    </row>
    <row r="196" spans="10:11" x14ac:dyDescent="0.25">
      <c r="J196" s="32"/>
      <c r="K196" s="32"/>
    </row>
    <row r="197" spans="10:11" x14ac:dyDescent="0.25">
      <c r="J197" s="32"/>
      <c r="K197" s="32"/>
    </row>
    <row r="198" spans="10:11" x14ac:dyDescent="0.25">
      <c r="J198" s="32"/>
      <c r="K198" s="32"/>
    </row>
    <row r="199" spans="10:11" x14ac:dyDescent="0.25">
      <c r="J199" s="32"/>
    </row>
    <row r="200" spans="10:11" x14ac:dyDescent="0.25">
      <c r="J200" s="32"/>
      <c r="K200" s="32"/>
    </row>
    <row r="201" spans="10:11" x14ac:dyDescent="0.25">
      <c r="J201" s="32"/>
      <c r="K201" s="32"/>
    </row>
    <row r="202" spans="10:11" x14ac:dyDescent="0.25">
      <c r="J202" s="32"/>
    </row>
    <row r="203" spans="10:11" x14ac:dyDescent="0.25">
      <c r="J203" s="32"/>
      <c r="K203" s="32"/>
    </row>
    <row r="204" spans="10:11" x14ac:dyDescent="0.25">
      <c r="J204" s="32"/>
    </row>
    <row r="205" spans="10:11" x14ac:dyDescent="0.25">
      <c r="J205" s="32"/>
      <c r="K205" s="32"/>
    </row>
    <row r="206" spans="10:11" x14ac:dyDescent="0.25">
      <c r="J206" s="32"/>
      <c r="K206" s="32"/>
    </row>
    <row r="207" spans="10:11" x14ac:dyDescent="0.25">
      <c r="J207" s="32"/>
      <c r="K207" s="32"/>
    </row>
    <row r="208" spans="10:11" x14ac:dyDescent="0.25">
      <c r="J208" s="32"/>
      <c r="K208" s="32"/>
    </row>
    <row r="209" spans="10:11" x14ac:dyDescent="0.25">
      <c r="J209" s="32"/>
      <c r="K209" s="32"/>
    </row>
    <row r="210" spans="10:11" x14ac:dyDescent="0.25">
      <c r="J210" s="32"/>
      <c r="K210" s="32"/>
    </row>
    <row r="211" spans="10:11" x14ac:dyDescent="0.25">
      <c r="J211" s="32"/>
      <c r="K211" s="32"/>
    </row>
    <row r="212" spans="10:11" x14ac:dyDescent="0.25">
      <c r="J212" s="32"/>
    </row>
    <row r="213" spans="10:11" x14ac:dyDescent="0.25">
      <c r="J213" s="32"/>
      <c r="K213" s="32"/>
    </row>
    <row r="214" spans="10:11" x14ac:dyDescent="0.25">
      <c r="J214" s="32"/>
      <c r="K214" s="32"/>
    </row>
    <row r="215" spans="10:11" x14ac:dyDescent="0.25">
      <c r="J215" s="32"/>
    </row>
    <row r="216" spans="10:11" x14ac:dyDescent="0.25">
      <c r="J216" s="32"/>
      <c r="K216" s="32"/>
    </row>
    <row r="217" spans="10:11" x14ac:dyDescent="0.25">
      <c r="J217" s="32"/>
      <c r="K217" s="32"/>
    </row>
    <row r="218" spans="10:11" x14ac:dyDescent="0.25">
      <c r="J218" s="32"/>
    </row>
    <row r="219" spans="10:11" x14ac:dyDescent="0.25">
      <c r="J219" s="32"/>
      <c r="K219" s="32"/>
    </row>
    <row r="220" spans="10:11" x14ac:dyDescent="0.25">
      <c r="J220" s="32"/>
    </row>
    <row r="221" spans="10:11" x14ac:dyDescent="0.25">
      <c r="J221" s="32"/>
    </row>
    <row r="222" spans="10:11" x14ac:dyDescent="0.25">
      <c r="J222" s="32"/>
      <c r="K222" s="32"/>
    </row>
    <row r="223" spans="10:11" x14ac:dyDescent="0.25">
      <c r="J223" s="32"/>
    </row>
    <row r="224" spans="10:11" x14ac:dyDescent="0.25">
      <c r="J224" s="32"/>
    </row>
    <row r="225" spans="10:11" x14ac:dyDescent="0.25">
      <c r="J225" s="32"/>
    </row>
    <row r="226" spans="10:11" x14ac:dyDescent="0.25">
      <c r="J226" s="32"/>
    </row>
    <row r="227" spans="10:11" x14ac:dyDescent="0.25">
      <c r="J227" s="32"/>
    </row>
    <row r="228" spans="10:11" x14ac:dyDescent="0.25">
      <c r="J228" s="32"/>
    </row>
    <row r="229" spans="10:11" x14ac:dyDescent="0.25">
      <c r="J229" s="32"/>
      <c r="K229" s="32"/>
    </row>
    <row r="230" spans="10:11" x14ac:dyDescent="0.25">
      <c r="J230" s="32"/>
      <c r="K230" s="32"/>
    </row>
    <row r="231" spans="10:11" x14ac:dyDescent="0.25">
      <c r="J231" s="32"/>
      <c r="K231" s="32"/>
    </row>
    <row r="232" spans="10:11" x14ac:dyDescent="0.25">
      <c r="J232" s="32"/>
      <c r="K232" s="32"/>
    </row>
    <row r="233" spans="10:11" x14ac:dyDescent="0.25">
      <c r="J233" s="32"/>
      <c r="K233" s="32"/>
    </row>
    <row r="234" spans="10:11" x14ac:dyDescent="0.25">
      <c r="J234" s="32"/>
      <c r="K234" s="32"/>
    </row>
    <row r="235" spans="10:11" x14ac:dyDescent="0.25">
      <c r="J235" s="32"/>
      <c r="K235" s="32"/>
    </row>
    <row r="236" spans="10:11" x14ac:dyDescent="0.25">
      <c r="J236" s="32"/>
      <c r="K236" s="32"/>
    </row>
    <row r="237" spans="10:11" x14ac:dyDescent="0.25">
      <c r="J237" s="32"/>
      <c r="K237" s="32"/>
    </row>
    <row r="238" spans="10:11" x14ac:dyDescent="0.25">
      <c r="J238" s="32"/>
      <c r="K238" s="32"/>
    </row>
    <row r="239" spans="10:11" x14ac:dyDescent="0.25">
      <c r="J239" s="32"/>
      <c r="K239" s="32"/>
    </row>
    <row r="240" spans="10:11" x14ac:dyDescent="0.25">
      <c r="J240" s="32"/>
      <c r="K240" s="32"/>
    </row>
    <row r="241" spans="10:11" x14ac:dyDescent="0.25">
      <c r="J241" s="32"/>
      <c r="K241" s="32"/>
    </row>
    <row r="242" spans="10:11" x14ac:dyDescent="0.25">
      <c r="J242" s="32"/>
      <c r="K242" s="32"/>
    </row>
    <row r="243" spans="10:11" x14ac:dyDescent="0.25">
      <c r="J243" s="32"/>
    </row>
    <row r="244" spans="10:11" x14ac:dyDescent="0.25">
      <c r="J244" s="32"/>
    </row>
    <row r="245" spans="10:11" x14ac:dyDescent="0.25">
      <c r="J245" s="32"/>
    </row>
    <row r="246" spans="10:11" x14ac:dyDescent="0.25">
      <c r="J246" s="32"/>
      <c r="K246" s="32"/>
    </row>
    <row r="247" spans="10:11" x14ac:dyDescent="0.25">
      <c r="J247" s="32"/>
      <c r="K247" s="32"/>
    </row>
    <row r="248" spans="10:11" x14ac:dyDescent="0.25">
      <c r="J248" s="32"/>
      <c r="K248" s="32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1</vt:i4>
      </vt:variant>
    </vt:vector>
  </HeadingPairs>
  <TitlesOfParts>
    <vt:vector size="10" baseType="lpstr">
      <vt:lpstr>Index</vt:lpstr>
      <vt:lpstr>1-ALM Login</vt:lpstr>
      <vt:lpstr>2-TCER Summary</vt:lpstr>
      <vt:lpstr>3-Defects Summary</vt:lpstr>
      <vt:lpstr>4-Metrics</vt:lpstr>
      <vt:lpstr>5-Plan vs Actual</vt:lpstr>
      <vt:lpstr>6-Tester effort</vt:lpstr>
      <vt:lpstr>TCER Data</vt:lpstr>
      <vt:lpstr>Defects List</vt:lpstr>
      <vt:lpstr>'4-Metrics'!Extract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Acharya</dc:creator>
  <cp:lastModifiedBy>Acharya</cp:lastModifiedBy>
  <dcterms:created xsi:type="dcterms:W3CDTF">2006-09-16T00:00:00Z</dcterms:created>
  <dcterms:modified xsi:type="dcterms:W3CDTF">2016-09-24T14:02:02Z</dcterms:modified>
</cp:coreProperties>
</file>