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styles.xml" ContentType="application/vnd.openxmlformats-officedocument.spreadsheetml.styles+xml"/>
  <Override PartName="/xl/worksheets/sheet9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_rels/drawing4.xml.rels" ContentType="application/vnd.openxmlformats-package.relationships+xml"/>
  <Override PartName="/xl/drawings/_rels/drawing5.xml.rels" ContentType="application/vnd.openxmlformats-package.relationship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pivotTables/_rels/pivotTable1.xml.rels" ContentType="application/vnd.openxmlformats-package.relationships+xml"/>
  <Override PartName="/xl/pivotTables/_rels/pivotTable2.xml.rels" ContentType="application/vnd.openxmlformats-package.relationships+xml"/>
  <Override PartName="/xl/pivotTables/_rels/pivotTable3.xml.rels" ContentType="application/vnd.openxmlformats-package.relationship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_rels/pivotCacheDefinition2.xml.rels" ContentType="application/vnd.openxmlformats-package.relationships+xml"/>
  <Override PartName="/xl/pivotCache/_rels/pivotCacheDefinition3.xml.rels" ContentType="application/vnd.openxmlformats-package.relationships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Records3.xml" ContentType="application/vnd.openxmlformats-officedocument.spreadsheetml.pivotCacheRecord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Index" sheetId="1" state="visible" r:id="rId3"/>
    <sheet name="1-ALM Login" sheetId="2" state="visible" r:id="rId4"/>
    <sheet name="2-TCER Summary" sheetId="3" state="visible" r:id="rId5"/>
    <sheet name="3-Defects Summary" sheetId="4" state="visible" r:id="rId6"/>
    <sheet name="4-Metrics" sheetId="5" state="visible" r:id="rId7"/>
    <sheet name="5-Plan vs Actual" sheetId="6" state="visible" r:id="rId8"/>
    <sheet name="6-Tester effort" sheetId="7" state="visible" r:id="rId9"/>
    <sheet name="TCER Data" sheetId="8" state="visible" r:id="rId10"/>
    <sheet name="Defects List" sheetId="9" state="visible" r:id="rId11"/>
  </sheets>
  <definedNames>
    <definedName function="false" hidden="false" localSheetId="4" name="_xlnm.Extract" vbProcedure="false">'4-Metrics'!$Q$2</definedName>
    <definedName function="false" hidden="false" localSheetId="7" name="_xlnm._FilterDatabase" vbProcedure="false">'TCER Data'!$B:$B</definedName>
    <definedName function="false" hidden="false" localSheetId="8" name="_xlnm._FilterDatabase" vbProcedure="false">'Defects List'!$P:$P</definedName>
    <definedName function="true" hidden="false" name="Sheet6.Reset" vbProcedure="true"/>
    <definedName function="true" hidden="false" name="Sheet6.FetchFolders" vbProcedure="true"/>
    <definedName function="true" hidden="false" name="Sheet6.ResetFolder" vbProcedure="true"/>
    <definedName function="true" hidden="false" name="Sheet6.FetchTestPlan" vbProcedure="true"/>
    <definedName function="true" hidden="false" name="Sheet1.FetchTCER" vbProcedure="true"/>
    <definedName function="true" hidden="false" name="Sheet8.FetchDefects" vbProcedure="true"/>
    <definedName function="true" hidden="false" name="Sheet4.CycleReport" vbProcedure="true"/>
    <definedName function="true" hidden="false" name="Sheet4.SubjectReport" vbProcedure="true"/>
    <definedName function="true" hidden="false" name="Sheet3.Actual" vbProcedure="true"/>
    <definedName function="true" hidden="false" name="Sheet3.PlanVsActual" vbProcedure="true"/>
    <definedName function="true" hidden="false" name="Sheet3.Plan" vbProcedure="true"/>
    <definedName function="true" hidden="false" name="Sheet3.ResetAll" vbProcedure="true"/>
  </definedNames>
  <calcPr iterateCount="100" refMode="A1" iterate="false" iterateDelta="0.0001"/>
  <pivotCaches>
    <pivotCache cacheId="1" r:id="rId13"/>
    <pivotCache cacheId="2" r:id="rId14"/>
    <pivotCache cacheId="3" r:id="rId15"/>
  </pivotCaches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G1" authorId="0">
      <text>
        <r>
          <rPr>
            <sz val="9"/>
            <color rgb="FF000000"/>
            <rFont val="Tahoma"/>
            <family val="2"/>
            <charset val="1"/>
          </rPr>
          <t xml:space="preserve">Click to get cycle-wise report. To get latest update first click Generate Report button in sheet TCER Summary
</t>
        </r>
      </text>
    </comment>
    <comment ref="R1" authorId="0">
      <text>
        <r>
          <rPr>
            <sz val="9"/>
            <color rgb="FF000000"/>
            <rFont val="Tahoma"/>
            <family val="2"/>
            <charset val="1"/>
          </rPr>
          <t xml:space="preserve">Click to get defect sub-wise report. To get latest update first click Generate Report button in sheet Defect Summary</t>
        </r>
      </text>
    </comment>
  </commentList>
</comments>
</file>

<file path=xl/sharedStrings.xml><?xml version="1.0" encoding="utf-8"?>
<sst xmlns="http://schemas.openxmlformats.org/spreadsheetml/2006/main" count="320" uniqueCount="186">
  <si>
    <t xml:space="preserve">Tool Details</t>
  </si>
  <si>
    <t xml:space="preserve">Name</t>
  </si>
  <si>
    <t xml:space="preserve">HP ALM Report</t>
  </si>
  <si>
    <t xml:space="preserve">Project</t>
  </si>
  <si>
    <t xml:space="preserve">Programming Language</t>
  </si>
  <si>
    <t xml:space="preserve">MS VBA, SQL</t>
  </si>
  <si>
    <t xml:space="preserve">Developed by</t>
  </si>
  <si>
    <t xml:space="preserve">Anand Acharya (aa00329461@techmahindra.com)</t>
  </si>
  <si>
    <t xml:space="preserve">Adam Wheeler (AJWtech@gmail.com) </t>
  </si>
  <si>
    <t xml:space="preserve">Version Control</t>
  </si>
  <si>
    <t xml:space="preserve">Version</t>
  </si>
  <si>
    <t xml:space="preserve">Date</t>
  </si>
  <si>
    <t xml:space="preserve">Section &amp; Amendment Made</t>
  </si>
  <si>
    <t xml:space="preserve">Initial draft to fetch TCER records and generate report</t>
  </si>
  <si>
    <t xml:space="preserve">Tool modified to fetch defects records and generate report. Updated metrics</t>
  </si>
  <si>
    <t xml:space="preserve">0.3.0 </t>
  </si>
  <si>
    <t xml:space="preserve">forked github project and started making changes to be more generic. </t>
  </si>
  <si>
    <t xml:space="preserve">Pre Requisites for the tool</t>
  </si>
  <si>
    <t xml:space="preserve">1. HP ALM Add-Ins “HP Quality Center Connectivity” and “HP ALM Client Registration” are installed in your machine.</t>
  </si>
  <si>
    <t xml:space="preserve">2. The excel workbook is not changed by deleting rows/columns or by renaming any worksheet.</t>
  </si>
  <si>
    <t xml:space="preserve">Enter your HP ALM crendentials:-</t>
  </si>
  <si>
    <t xml:space="preserve">HP ALM Url:</t>
  </si>
  <si>
    <t xml:space="preserve">(eg: https://{serverURL}/qcbin)</t>
  </si>
  <si>
    <t xml:space="preserve">Login Name:</t>
  </si>
  <si>
    <t xml:space="preserve">Password:</t>
  </si>
  <si>
    <t xml:space="preserve">Domain:</t>
  </si>
  <si>
    <t xml:space="preserve">(eg: ACTIVE_PROJECTS)</t>
  </si>
  <si>
    <t xml:space="preserve">Project:</t>
  </si>
  <si>
    <t xml:space="preserve">(eg: TG004_EPL)</t>
  </si>
  <si>
    <r>
      <rPr>
        <sz val="11"/>
        <color rgb="FF000000"/>
        <rFont val="Calibri"/>
        <family val="2"/>
        <charset val="1"/>
      </rPr>
      <t xml:space="preserve">Test Lab Folder Id </t>
    </r>
    <r>
      <rPr>
        <sz val="9"/>
        <color rgb="FF000000"/>
        <rFont val="Calibri"/>
        <family val="2"/>
        <charset val="1"/>
      </rPr>
      <t xml:space="preserve">(for TCER report)</t>
    </r>
    <r>
      <rPr>
        <sz val="11"/>
        <color rgb="FF000000"/>
        <rFont val="Calibri"/>
        <family val="2"/>
        <charset val="1"/>
      </rPr>
      <t xml:space="preserve">:</t>
    </r>
  </si>
  <si>
    <t xml:space="preserve">(click "Test Lab Folder Id" button and enter the required folder Id eg: AAAAABAAD or AAAAABAAD% )</t>
  </si>
  <si>
    <r>
      <rPr>
        <sz val="11"/>
        <color rgb="FF000000"/>
        <rFont val="Calibri"/>
        <family val="2"/>
        <charset val="1"/>
      </rPr>
      <t xml:space="preserve">Test Plan Folder Id </t>
    </r>
    <r>
      <rPr>
        <sz val="9"/>
        <color rgb="FF000000"/>
        <rFont val="Calibri"/>
        <family val="2"/>
        <charset val="1"/>
      </rPr>
      <t xml:space="preserve">(for Defects report)</t>
    </r>
    <r>
      <rPr>
        <sz val="11"/>
        <color rgb="FF000000"/>
        <rFont val="Calibri"/>
        <family val="2"/>
        <charset val="1"/>
      </rPr>
      <t xml:space="preserve">:</t>
    </r>
  </si>
  <si>
    <t xml:space="preserve">(click "Test Plan Folder Id" button and enter the required folder Id eg: AAAAAPAAN or AAAAAPAAN%)</t>
  </si>
  <si>
    <t xml:space="preserve">click below button to show TCER summary</t>
  </si>
  <si>
    <t xml:space="preserve">TEST_PRIORITY</t>
  </si>
  <si>
    <t xml:space="preserve">- all -</t>
  </si>
  <si>
    <t xml:space="preserve">Count - TEST_STATUS</t>
  </si>
  <si>
    <t xml:space="preserve">TEST_STATUS</t>
  </si>
  <si>
    <t xml:space="preserve">TEST_FOLDER</t>
  </si>
  <si>
    <t xml:space="preserve">TEST_SET</t>
  </si>
  <si>
    <t xml:space="preserve">Passed</t>
  </si>
  <si>
    <t xml:space="preserve">Failed</t>
  </si>
  <si>
    <t xml:space="preserve">Blocked</t>
  </si>
  <si>
    <t xml:space="preserve">Not Completed</t>
  </si>
  <si>
    <t xml:space="preserve">No Run</t>
  </si>
  <si>
    <t xml:space="preserve">N/A</t>
  </si>
  <si>
    <t xml:space="preserve">Functionality Not delivered</t>
  </si>
  <si>
    <t xml:space="preserve">Retest</t>
  </si>
  <si>
    <t xml:space="preserve">Total Result</t>
  </si>
  <si>
    <t xml:space="preserve">Fold1</t>
  </si>
  <si>
    <t xml:space="preserve">Set1</t>
  </si>
  <si>
    <t xml:space="preserve">Set2</t>
  </si>
  <si>
    <t xml:space="preserve">Fold2</t>
  </si>
  <si>
    <t xml:space="preserve">Set3</t>
  </si>
  <si>
    <t xml:space="preserve">Fold3</t>
  </si>
  <si>
    <t xml:space="preserve">Set4</t>
  </si>
  <si>
    <t xml:space="preserve">Fold4</t>
  </si>
  <si>
    <t xml:space="preserve">Set5</t>
  </si>
  <si>
    <t xml:space="preserve">Set6</t>
  </si>
  <si>
    <t xml:space="preserve">click below button to show defects summary</t>
  </si>
  <si>
    <t xml:space="preserve">Note: Refer sheet "Defects List" for all defect details after clicking generate report button</t>
  </si>
  <si>
    <t xml:space="preserve">TEST_PHASE</t>
  </si>
  <si>
    <t xml:space="preserve">Count - DEFECT_ID</t>
  </si>
  <si>
    <t xml:space="preserve">STATUS</t>
  </si>
  <si>
    <t xml:space="preserve">RESOLUTION</t>
  </si>
  <si>
    <t xml:space="preserve">Closed</t>
  </si>
  <si>
    <t xml:space="preserve">Closed Result</t>
  </si>
  <si>
    <t xml:space="preserve">Open</t>
  </si>
  <si>
    <t xml:space="preserve">Open Result</t>
  </si>
  <si>
    <t xml:space="preserve">SEVERITY</t>
  </si>
  <si>
    <t xml:space="preserve">Verified</t>
  </si>
  <si>
    <t xml:space="preserve">Assigned</t>
  </si>
  <si>
    <t xml:space="preserve">Ready to Test</t>
  </si>
  <si>
    <t xml:space="preserve">1 - Critical</t>
  </si>
  <si>
    <t xml:space="preserve">2 - High</t>
  </si>
  <si>
    <t xml:space="preserve">3 - Low</t>
  </si>
  <si>
    <t xml:space="preserve">3 - Medium</t>
  </si>
  <si>
    <t xml:space="preserve">Sr. No</t>
  </si>
  <si>
    <t xml:space="preserve">Testing Metric</t>
  </si>
  <si>
    <t xml:space="preserve">TCER Data</t>
  </si>
  <si>
    <t xml:space="preserve">Total Test Cases</t>
  </si>
  <si>
    <t xml:space="preserve">%COMPLETE</t>
  </si>
  <si>
    <t xml:space="preserve">TOTAL TCs</t>
  </si>
  <si>
    <t xml:space="preserve">TOTAL EXECUTED</t>
  </si>
  <si>
    <t xml:space="preserve">PASSED</t>
  </si>
  <si>
    <t xml:space="preserve">FAILED</t>
  </si>
  <si>
    <t xml:space="preserve">BLOCKED</t>
  </si>
  <si>
    <t xml:space="preserve">NOT COMPLETED</t>
  </si>
  <si>
    <t xml:space="preserve">NO RUN</t>
  </si>
  <si>
    <t xml:space="preserve">DESCOPED</t>
  </si>
  <si>
    <t xml:space="preserve">SUBJECT</t>
  </si>
  <si>
    <t xml:space="preserve">SEV-1</t>
  </si>
  <si>
    <t xml:space="preserve">SEV-2</t>
  </si>
  <si>
    <t xml:space="preserve">SEV-3</t>
  </si>
  <si>
    <t xml:space="preserve">SEV-4</t>
  </si>
  <si>
    <t xml:space="preserve">Total Valid Test Cases</t>
  </si>
  <si>
    <t xml:space="preserve">Sub1</t>
  </si>
  <si>
    <t xml:space="preserve">Sub2</t>
  </si>
  <si>
    <t xml:space="preserve">Total Test Cases Passed</t>
  </si>
  <si>
    <t xml:space="preserve">Sub3</t>
  </si>
  <si>
    <t xml:space="preserve">Total Test Cases Failed</t>
  </si>
  <si>
    <t xml:space="preserve">TOTAL</t>
  </si>
  <si>
    <t xml:space="preserve">Total Test Cases Blocked</t>
  </si>
  <si>
    <t xml:space="preserve">Total Test Cases Not Completed</t>
  </si>
  <si>
    <t xml:space="preserve">Total Test Cases No Run</t>
  </si>
  <si>
    <t xml:space="preserve">Total Test Cases N/A</t>
  </si>
  <si>
    <t xml:space="preserve">Total Test Cases Retest</t>
  </si>
  <si>
    <t xml:space="preserve">Total Test Cases Deferred</t>
  </si>
  <si>
    <t xml:space="preserve">Total Test Cases Executed</t>
  </si>
  <si>
    <t xml:space="preserve">Total Test Cases Not Executed</t>
  </si>
  <si>
    <t xml:space="preserve">Total Identified Defects</t>
  </si>
  <si>
    <t xml:space="preserve">Total Valid Defects</t>
  </si>
  <si>
    <t xml:space="preserve">Total Open Defects</t>
  </si>
  <si>
    <t xml:space="preserve">Total Closed Defects</t>
  </si>
  <si>
    <t xml:space="preserve">Total Severity 1&amp;2 Defects</t>
  </si>
  <si>
    <t xml:space="preserve">Total Severity 3&amp;4 Defects</t>
  </si>
  <si>
    <t xml:space="preserve">Total Rejected Defects</t>
  </si>
  <si>
    <t xml:space="preserve">Average Defect Age</t>
  </si>
  <si>
    <t xml:space="preserve">days</t>
  </si>
  <si>
    <t xml:space="preserve">Note:</t>
  </si>
  <si>
    <t xml:space="preserve">Test Execution Start Date</t>
  </si>
  <si>
    <t xml:space="preserve">(MM/DD/YY)</t>
  </si>
  <si>
    <t xml:space="preserve">- After generating report in sheet 2, enter planned/actual execution start and end date, and total test cases </t>
  </si>
  <si>
    <t xml:space="preserve">Test Execution End Date</t>
  </si>
  <si>
    <r>
      <rPr>
        <sz val="8"/>
        <color rgb="FF000000"/>
        <rFont val="Calibri"/>
        <family val="2"/>
        <charset val="1"/>
      </rPr>
      <t xml:space="preserve">- Click </t>
    </r>
    <r>
      <rPr>
        <b val="true"/>
        <sz val="8"/>
        <color rgb="FF000000"/>
        <rFont val="Calibri"/>
        <family val="2"/>
        <charset val="1"/>
      </rPr>
      <t xml:space="preserve">Create Plan</t>
    </r>
    <r>
      <rPr>
        <sz val="8"/>
        <color rgb="FF000000"/>
        <rFont val="Calibri"/>
        <family val="2"/>
        <charset val="1"/>
      </rPr>
      <t xml:space="preserve"> button to get estimate count of test cases to execute from start to end date</t>
    </r>
  </si>
  <si>
    <t xml:space="preserve">Total Test cases</t>
  </si>
  <si>
    <r>
      <rPr>
        <sz val="8"/>
        <color rgb="FF000000"/>
        <rFont val="Calibri"/>
        <family val="2"/>
        <charset val="1"/>
      </rPr>
      <t xml:space="preserve">- Click </t>
    </r>
    <r>
      <rPr>
        <b val="true"/>
        <sz val="8"/>
        <color rgb="FF000000"/>
        <rFont val="Calibri"/>
        <family val="2"/>
        <charset val="1"/>
      </rPr>
      <t xml:space="preserve">Show Actual </t>
    </r>
    <r>
      <rPr>
        <sz val="8"/>
        <color rgb="FF000000"/>
        <rFont val="Calibri"/>
        <family val="2"/>
        <charset val="1"/>
      </rPr>
      <t xml:space="preserve">button to get count of test cases executed from start to end date</t>
    </r>
  </si>
  <si>
    <t xml:space="preserve">Total Days</t>
  </si>
  <si>
    <r>
      <rPr>
        <sz val="8"/>
        <color rgb="FF000000"/>
        <rFont val="Calibri"/>
        <family val="2"/>
        <charset val="1"/>
      </rPr>
      <t xml:space="preserve">- </t>
    </r>
    <r>
      <rPr>
        <b val="true"/>
        <sz val="8"/>
        <color rgb="FF000000"/>
        <rFont val="Calibri"/>
        <family val="2"/>
        <charset val="1"/>
      </rPr>
      <t xml:space="preserve">Enter Date</t>
    </r>
    <r>
      <rPr>
        <sz val="8"/>
        <color rgb="FF000000"/>
        <rFont val="Calibri"/>
        <family val="2"/>
        <charset val="1"/>
      </rPr>
      <t xml:space="preserve"> and click </t>
    </r>
    <r>
      <rPr>
        <b val="true"/>
        <sz val="8"/>
        <color rgb="FF000000"/>
        <rFont val="Calibri"/>
        <family val="2"/>
        <charset val="1"/>
      </rPr>
      <t xml:space="preserve">Plan Vs Actual</t>
    </r>
    <r>
      <rPr>
        <sz val="8"/>
        <color rgb="FF000000"/>
        <rFont val="Calibri"/>
        <family val="2"/>
        <charset val="1"/>
      </rPr>
      <t xml:space="preserve"> button to get comparison of planned and actual test cases till the entered date</t>
    </r>
  </si>
  <si>
    <t xml:space="preserve">Total Work Days</t>
  </si>
  <si>
    <t xml:space="preserve">Enter Date</t>
  </si>
  <si>
    <t xml:space="preserve">Applicable Test cases</t>
  </si>
  <si>
    <t xml:space="preserve">Planned Completion (where we should be)</t>
  </si>
  <si>
    <t xml:space="preserve">Actual Completion (where we are)</t>
  </si>
  <si>
    <t xml:space="preserve">Below table shows the records of test cases updated in QC by the tester:</t>
  </si>
  <si>
    <t xml:space="preserve">ACTUAL_EXECUTION_DATE</t>
  </si>
  <si>
    <t xml:space="preserve">TESTER</t>
  </si>
  <si>
    <t xml:space="preserve">Tester1</t>
  </si>
  <si>
    <t xml:space="preserve">Tester2</t>
  </si>
  <si>
    <t xml:space="preserve">Tester3</t>
  </si>
  <si>
    <t xml:space="preserve">Tester4</t>
  </si>
  <si>
    <t xml:space="preserve">PLAN_EXECUTION_DATE</t>
  </si>
  <si>
    <t xml:space="preserve">TEST_NAME</t>
  </si>
  <si>
    <t xml:space="preserve">High</t>
  </si>
  <si>
    <t xml:space="preserve">TC1</t>
  </si>
  <si>
    <t xml:space="preserve">TC2</t>
  </si>
  <si>
    <t xml:space="preserve">TC3</t>
  </si>
  <si>
    <t xml:space="preserve">Medium</t>
  </si>
  <si>
    <t xml:space="preserve">TC4</t>
  </si>
  <si>
    <t xml:space="preserve">TC5</t>
  </si>
  <si>
    <t xml:space="preserve">TC6</t>
  </si>
  <si>
    <t xml:space="preserve">TC7</t>
  </si>
  <si>
    <t xml:space="preserve">TC8</t>
  </si>
  <si>
    <t xml:space="preserve">TC9</t>
  </si>
  <si>
    <t xml:space="preserve">TC10</t>
  </si>
  <si>
    <t xml:space="preserve">TC11</t>
  </si>
  <si>
    <t xml:space="preserve">TC12</t>
  </si>
  <si>
    <t xml:space="preserve">DEFECT_ID</t>
  </si>
  <si>
    <t xml:space="preserve">SUMMARY</t>
  </si>
  <si>
    <t xml:space="preserve">COMPONENT</t>
  </si>
  <si>
    <t xml:space="preserve">PRIORITY</t>
  </si>
  <si>
    <t xml:space="preserve">ASSIGNED_TO</t>
  </si>
  <si>
    <t xml:space="preserve">DETECTED_BY</t>
  </si>
  <si>
    <t xml:space="preserve">DETECTION_DATE</t>
  </si>
  <si>
    <t xml:space="preserve">CLOSING_DATE</t>
  </si>
  <si>
    <t xml:space="preserve">ROOT_CAUSE</t>
  </si>
  <si>
    <t xml:space="preserve">ROOT_CAUSE_DETAILS</t>
  </si>
  <si>
    <t xml:space="preserve">ATTACHMENT</t>
  </si>
  <si>
    <t xml:space="preserve">DEFECT_AGE</t>
  </si>
  <si>
    <t xml:space="preserve">4. UAT</t>
  </si>
  <si>
    <t xml:space="preserve">UAT1</t>
  </si>
  <si>
    <t xml:space="preserve">ARBOR</t>
  </si>
  <si>
    <t xml:space="preserve">P2 - Mandatory</t>
  </si>
  <si>
    <t xml:space="preserve">Configuration</t>
  </si>
  <si>
    <t xml:space="preserve">Configuration - Application</t>
  </si>
  <si>
    <t xml:space="preserve">Y</t>
  </si>
  <si>
    <t xml:space="preserve">UAT2</t>
  </si>
  <si>
    <t xml:space="preserve">UAT3</t>
  </si>
  <si>
    <t xml:space="preserve">SOS</t>
  </si>
  <si>
    <t xml:space="preserve">UAT4</t>
  </si>
  <si>
    <t xml:space="preserve">Invalid Defect</t>
  </si>
  <si>
    <t xml:space="preserve">Not a Requirement</t>
  </si>
  <si>
    <t xml:space="preserve">UAT5</t>
  </si>
  <si>
    <t xml:space="preserve">OPOM</t>
  </si>
  <si>
    <t xml:space="preserve">Application Code</t>
  </si>
  <si>
    <t xml:space="preserve">Application - Code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</si>
</sst>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M/D/YYYY"/>
    <numFmt numFmtId="166" formatCode="MM/DD/YY"/>
    <numFmt numFmtId="167" formatCode="0%"/>
    <numFmt numFmtId="168" formatCode="0.00"/>
    <numFmt numFmtId="169" formatCode="D\-MMM\-YY"/>
    <numFmt numFmtId="170" formatCode="0"/>
    <numFmt numFmtId="171" formatCode="M/D/YYYY\ H:MM"/>
  </numFmts>
  <fonts count="2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11"/>
      <color rgb="FFFFCC00"/>
      <name val="Calibri"/>
      <family val="2"/>
      <charset val="1"/>
    </font>
    <font>
      <i val="true"/>
      <sz val="8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sz val="11"/>
      <color rgb="FF000000"/>
      <name val="Calibri"/>
      <family val="0"/>
      <charset val="1"/>
    </font>
    <font>
      <b val="true"/>
      <sz val="11"/>
      <color rgb="FF000000"/>
      <name val="Calibri"/>
      <family val="0"/>
      <charset val="1"/>
    </font>
    <font>
      <i val="true"/>
      <sz val="9"/>
      <color rgb="FF000000"/>
      <name val="Calibri"/>
      <family val="2"/>
      <charset val="1"/>
    </font>
    <font>
      <sz val="9"/>
      <color rgb="FF000000"/>
      <name val="Tahoma"/>
      <family val="2"/>
      <charset val="1"/>
    </font>
    <font>
      <sz val="14"/>
      <color rgb="FF595959"/>
      <name val="Calibri"/>
      <family val="2"/>
    </font>
    <font>
      <sz val="9"/>
      <color rgb="FF404040"/>
      <name val="Calibri"/>
      <family val="2"/>
    </font>
    <font>
      <sz val="9"/>
      <color rgb="FF595959"/>
      <name val="Calibri"/>
      <family val="2"/>
    </font>
    <font>
      <b val="true"/>
      <sz val="9"/>
      <color rgb="FF1F497D"/>
      <name val="Calibri"/>
      <family val="2"/>
    </font>
    <font>
      <sz val="10"/>
      <color rgb="FF000000"/>
      <name val="Calibri"/>
      <family val="2"/>
    </font>
    <font>
      <sz val="9"/>
      <color rgb="FF1F497D"/>
      <name val="Calibri"/>
      <family val="2"/>
    </font>
    <font>
      <i val="true"/>
      <sz val="11"/>
      <color rgb="FF000000"/>
      <name val="Calibri"/>
      <family val="0"/>
      <charset val="1"/>
    </font>
    <font>
      <b val="true"/>
      <sz val="8"/>
      <color rgb="FF000000"/>
      <name val="Calibri"/>
      <family val="2"/>
      <charset val="1"/>
    </font>
    <font>
      <sz val="8"/>
      <color rgb="FF000000"/>
      <name val="Calibri"/>
      <family val="2"/>
      <charset val="1"/>
    </font>
    <font>
      <b val="true"/>
      <sz val="16"/>
      <color rgb="FF595959"/>
      <name val="Calibri"/>
      <family val="2"/>
    </font>
    <font>
      <b val="true"/>
      <i val="true"/>
      <sz val="11"/>
      <color rgb="FF000000"/>
      <name val="Book Antiqua"/>
      <family val="0"/>
      <charset val="1"/>
    </font>
  </fonts>
  <fills count="12">
    <fill>
      <patternFill patternType="none"/>
    </fill>
    <fill>
      <patternFill patternType="gray125"/>
    </fill>
    <fill>
      <patternFill patternType="solid">
        <fgColor rgb="FF33CCCC"/>
        <bgColor rgb="FF00CCFF"/>
      </patternFill>
    </fill>
    <fill>
      <patternFill patternType="solid">
        <fgColor rgb="FF008080"/>
        <bgColor rgb="FF008080"/>
      </patternFill>
    </fill>
    <fill>
      <patternFill patternType="solid">
        <fgColor rgb="FFBFBFBF"/>
        <bgColor rgb="FFC0C0C0"/>
      </patternFill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CC00"/>
      </patternFill>
    </fill>
    <fill>
      <patternFill patternType="solid">
        <fgColor rgb="FFC0C0C0"/>
        <bgColor rgb="FFBFBFBF"/>
      </patternFill>
    </fill>
    <fill>
      <patternFill patternType="solid">
        <fgColor rgb="FF00FF00"/>
        <bgColor rgb="FF33CCCC"/>
      </patternFill>
    </fill>
    <fill>
      <patternFill patternType="solid">
        <fgColor rgb="FFFF0000"/>
        <bgColor rgb="FF993300"/>
      </patternFill>
    </fill>
    <fill>
      <patternFill patternType="solid">
        <fgColor rgb="FFD9D9D9"/>
        <bgColor rgb="FFD4E3F4"/>
      </patternFill>
    </fill>
  </fills>
  <borders count="39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/>
      <top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5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2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3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4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5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3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6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7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4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4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5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8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3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5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4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5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6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4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5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5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7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7" fontId="0" fillId="5" borderId="0" xfId="19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7" borderId="1" xfId="19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1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4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7" fontId="0" fillId="7" borderId="14" xfId="19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5" borderId="3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0" fillId="7" borderId="34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7" borderId="3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20" fillId="5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0" fillId="6" borderId="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1" fillId="5" borderId="1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1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1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17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1" fillId="5" borderId="2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2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1" fillId="5" borderId="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1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1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24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38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38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0" fontId="0" fillId="5" borderId="38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0" fontId="0" fillId="5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7" borderId="14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0" fontId="0" fillId="7" borderId="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7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5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3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1" fontId="0" fillId="0" borderId="11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1" fontId="4" fillId="0" borderId="12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1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4" fillId="1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Field" xfId="20"/>
    <cellStyle name="Pivot Table Corner" xfId="21"/>
    <cellStyle name="Pivot Table Value" xfId="22"/>
    <cellStyle name="Pivot Table Category" xfId="23"/>
    <cellStyle name="Pivot Table Title" xfId="24"/>
    <cellStyle name="Pivot Table Result" xfId="2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4F81BD"/>
      <rgbColor rgb="FF9999FF"/>
      <rgbColor rgb="FF993366"/>
      <rgbColor rgb="FFFFFFCC"/>
      <rgbColor rgb="FFD4E3F4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BFBFBF"/>
      <rgbColor rgb="FFFF99CC"/>
      <rgbColor rgb="FFCC99FF"/>
      <rgbColor rgb="FFFFCC99"/>
      <rgbColor rgb="FF3366FF"/>
      <rgbColor rgb="FF33CCCC"/>
      <rgbColor rgb="FF92D050"/>
      <rgbColor rgb="FFFFCC00"/>
      <rgbColor rgb="FFFFC000"/>
      <rgbColor rgb="FFFF6600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1F497D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<Relationship Id="rId13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2.xml"/><Relationship Id="rId15" Type="http://schemas.openxmlformats.org/officeDocument/2006/relationships/pivotCacheDefinition" Target="pivotCache/pivotCacheDefinition3.xml"/>
</Relationships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Test Execution Status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</c:spPr>
          <c:invertIfNegative val="0"/>
          <c:dPt>
            <c:idx val="0"/>
            <c:invertIfNegative val="0"/>
            <c:spPr>
              <a:solidFill>
                <a:srgbClr val="92d050"/>
              </a:solidFill>
              <a:ln>
                <a:noFill/>
              </a:ln>
            </c:spPr>
          </c:dPt>
          <c:dPt>
            <c:idx val="1"/>
            <c:invertIfNegative val="0"/>
            <c:spPr>
              <a:solidFill>
                <a:srgbClr val="ff0000"/>
              </a:solidFill>
              <a:ln>
                <a:noFill/>
              </a:ln>
            </c:spPr>
          </c:dPt>
          <c:dLbls>
            <c:numFmt formatCode="General" sourceLinked="1"/>
            <c:dLbl>
              <c:idx val="0"/>
              <c:txPr>
                <a:bodyPr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</c:dLbl>
            <c:dLbl>
              <c:idx val="1"/>
              <c:txPr>
                <a:bodyPr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</c:dLbl>
            <c:txPr>
              <a:bodyPr/>
              <a:lstStyle/>
              <a:p>
                <a:pPr>
                  <a:defRPr b="0" sz="9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'4-Metrics'!$B$5:$B$7</c:f>
              <c:strCache>
                <c:ptCount val="3"/>
                <c:pt idx="0">
                  <c:v>Total Test Cases Passed</c:v>
                </c:pt>
                <c:pt idx="1">
                  <c:v>Total Test Cases Failed</c:v>
                </c:pt>
                <c:pt idx="2">
                  <c:v>Total Test Cases Blocked</c:v>
                </c:pt>
              </c:strCache>
            </c:strRef>
          </c:cat>
          <c:val>
            <c:numRef>
              <c:f>'4-Metrics'!$C$5:$C$7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</c:ser>
        <c:gapWidth val="219"/>
        <c:overlap val="-27"/>
        <c:axId val="47494105"/>
        <c:axId val="99803196"/>
      </c:barChart>
      <c:catAx>
        <c:axId val="4749410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9803196"/>
        <c:crosses val="autoZero"/>
        <c:auto val="1"/>
        <c:lblAlgn val="ctr"/>
        <c:lblOffset val="100"/>
      </c:catAx>
      <c:valAx>
        <c:axId val="99803196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7494105"/>
        <c:crosses val="autoZero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Test Completion status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</c:spPr>
          <c:invertIfNegative val="0"/>
          <c:dPt>
            <c:idx val="1"/>
            <c:invertIfNegative val="0"/>
            <c:spPr>
              <a:solidFill>
                <a:srgbClr val="ffc000"/>
              </a:solidFill>
              <a:ln>
                <a:noFill/>
              </a:ln>
            </c:spPr>
          </c:dPt>
          <c:dLbls>
            <c:numFmt formatCode="General" sourceLinked="1"/>
            <c:dLbl>
              <c:idx val="1"/>
              <c:txPr>
                <a:bodyPr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</c:dLbl>
            <c:txPr>
              <a:bodyPr/>
              <a:lstStyle/>
              <a:p>
                <a:pPr>
                  <a:defRPr b="0" sz="9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'4-Metrics'!$B$14:$B$15</c:f>
              <c:strCache>
                <c:ptCount val="2"/>
                <c:pt idx="0">
                  <c:v>Total Test Cases Executed</c:v>
                </c:pt>
                <c:pt idx="1">
                  <c:v>Total Test Cases Not Executed</c:v>
                </c:pt>
              </c:strCache>
            </c:strRef>
          </c:cat>
          <c:val>
            <c:numRef>
              <c:f>'4-Metrics'!$C$14:$C$15</c:f>
              <c:numCache>
                <c:formatCode>General</c:formatCode>
                <c:ptCount val="2"/>
                <c:pt idx="0">
                  <c:v>4</c:v>
                </c:pt>
                <c:pt idx="1">
                  <c:v>6</c:v>
                </c:pt>
              </c:numCache>
            </c:numRef>
          </c:val>
        </c:ser>
        <c:gapWidth val="219"/>
        <c:overlap val="-27"/>
        <c:axId val="29484594"/>
        <c:axId val="45101410"/>
      </c:barChart>
      <c:catAx>
        <c:axId val="2948459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5101410"/>
        <c:crosses val="autoZero"/>
        <c:auto val="1"/>
        <c:lblAlgn val="ctr"/>
        <c:lblOffset val="100"/>
      </c:catAx>
      <c:valAx>
        <c:axId val="4510141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9484594"/>
        <c:crosses val="autoZero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Test Execution Percentage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</c:spPr>
          <c:explosion val="0"/>
          <c:dPt>
            <c:idx val="0"/>
            <c:spPr>
              <a:solidFill>
                <a:srgbClr val="92d050"/>
              </a:solidFill>
              <a:ln>
                <a:noFill/>
              </a:ln>
            </c:spPr>
          </c:dPt>
          <c:dPt>
            <c:idx val="1"/>
            <c:spPr>
              <a:solidFill>
                <a:srgbClr val="ff0000"/>
              </a:solidFill>
              <a:ln>
                <a:noFill/>
              </a:ln>
            </c:spPr>
          </c:dPt>
          <c:dPt>
            <c:idx val="2"/>
            <c:spPr>
              <a:solidFill>
                <a:srgbClr val="ffc000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txPr>
                <a:bodyPr/>
                <a:lstStyle/>
                <a:p>
                  <a:pPr>
                    <a:defRPr b="1" sz="900" spc="-1" strike="noStrike">
                      <a:solidFill>
                        <a:srgbClr val="1f497d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txPr>
                <a:bodyPr/>
                <a:lstStyle/>
                <a:p>
                  <a:pPr>
                    <a:defRPr b="1" sz="900" spc="-1" strike="noStrike">
                      <a:solidFill>
                        <a:srgbClr val="1f497d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txPr>
                <a:bodyPr/>
                <a:lstStyle/>
                <a:p>
                  <a:pPr>
                    <a:defRPr b="1" sz="900" spc="-1" strike="noStrike">
                      <a:solidFill>
                        <a:srgbClr val="1f497d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</c:dLbl>
            <c:txPr>
              <a:bodyPr/>
              <a:lstStyle/>
              <a:p>
                <a:pPr>
                  <a:defRPr b="1" sz="900" spc="-1" strike="noStrike">
                    <a:solidFill>
                      <a:srgbClr val="1f497d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'4-Metrics'!$B$5:$B$7</c:f>
              <c:strCache>
                <c:ptCount val="3"/>
                <c:pt idx="0">
                  <c:v>Total Test Cases Passed</c:v>
                </c:pt>
                <c:pt idx="1">
                  <c:v>Total Test Cases Failed</c:v>
                </c:pt>
                <c:pt idx="2">
                  <c:v>Total Test Cases Blocked</c:v>
                </c:pt>
              </c:strCache>
            </c:strRef>
          </c:cat>
          <c:val>
            <c:numRef>
              <c:f>'4-Metrics'!$D$5:$D$7</c:f>
              <c:numCache>
                <c:formatCode>General</c:formatCode>
                <c:ptCount val="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1f497d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4e3f4"/>
      </a:solidFill>
      <a:round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Test Completion Percentage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</c:spPr>
          <c:explosion val="0"/>
          <c:dPt>
            <c:idx val="0"/>
            <c:spPr>
              <a:solidFill>
                <a:srgbClr val="92d050"/>
              </a:solidFill>
              <a:ln>
                <a:noFill/>
              </a:ln>
            </c:spPr>
          </c:dPt>
          <c:dPt>
            <c:idx val="1"/>
            <c:spPr>
              <a:solidFill>
                <a:srgbClr val="ffc000"/>
              </a:solidFill>
              <a:ln>
                <a:noFill/>
              </a:ln>
            </c:spPr>
          </c:dPt>
          <c:dLbls>
            <c:numFmt formatCode="0%" sourceLinked="1"/>
            <c:dLbl>
              <c:idx val="0"/>
              <c:txPr>
                <a:bodyPr/>
                <a:lstStyle/>
                <a:p>
                  <a:pPr>
                    <a:defRPr b="1" sz="900" spc="-1" strike="noStrike">
                      <a:solidFill>
                        <a:srgbClr val="1f497d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txPr>
                <a:bodyPr/>
                <a:lstStyle/>
                <a:p>
                  <a:pPr>
                    <a:defRPr b="1" sz="900" spc="-1" strike="noStrike">
                      <a:solidFill>
                        <a:srgbClr val="1f497d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</c:dLbl>
            <c:txPr>
              <a:bodyPr/>
              <a:lstStyle/>
              <a:p>
                <a:pPr>
                  <a:defRPr b="1" sz="900" spc="-1" strike="noStrike">
                    <a:solidFill>
                      <a:srgbClr val="1f497d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'4-Metrics'!$B$14:$B$15</c:f>
              <c:strCache>
                <c:ptCount val="2"/>
                <c:pt idx="0">
                  <c:v>Total Test Cases Executed</c:v>
                </c:pt>
                <c:pt idx="1">
                  <c:v>Total Test Cases Not Executed</c:v>
                </c:pt>
              </c:strCache>
            </c:strRef>
          </c:cat>
          <c:val>
            <c:numRef>
              <c:f>'4-Metrics'!$D$14:$D$15</c:f>
              <c:numCache>
                <c:formatCode>General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1f497d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4e3f4"/>
      </a:solidFill>
      <a:round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Defect Status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>
              <a:noFill/>
            </a:ln>
          </c:spPr>
          <c:invertIfNegative val="0"/>
          <c:dPt>
            <c:idx val="0"/>
            <c:invertIfNegative val="0"/>
            <c:spPr>
              <a:solidFill>
                <a:srgbClr val="ffc000"/>
              </a:solidFill>
              <a:ln>
                <a:noFill/>
              </a:ln>
            </c:spPr>
          </c:dPt>
          <c:dPt>
            <c:idx val="1"/>
            <c:invertIfNegative val="0"/>
            <c:spPr>
              <a:solidFill>
                <a:srgbClr val="92d050"/>
              </a:solidFill>
              <a:ln>
                <a:noFill/>
              </a:ln>
            </c:spPr>
          </c:dPt>
          <c:dLbls>
            <c:numFmt formatCode="General" sourceLinked="1"/>
            <c:dLbl>
              <c:idx val="0"/>
              <c:txPr>
                <a:bodyPr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</c:dLbl>
            <c:dLbl>
              <c:idx val="1"/>
              <c:txPr>
                <a:bodyPr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</c:dLbl>
            <c:txPr>
              <a:bodyPr/>
              <a:lstStyle/>
              <a:p>
                <a:pPr>
                  <a:defRPr b="0" sz="9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'4-Metrics'!$B$19:$B$20</c:f>
              <c:strCache>
                <c:ptCount val="2"/>
                <c:pt idx="0">
                  <c:v>Total Open Defects</c:v>
                </c:pt>
                <c:pt idx="1">
                  <c:v>Total Closed Defects</c:v>
                </c:pt>
              </c:strCache>
            </c:strRef>
          </c:cat>
          <c:val>
            <c:numRef>
              <c:f>'4-Metrics'!$C$19:$C$20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</c:ser>
        <c:gapWidth val="219"/>
        <c:overlap val="-27"/>
        <c:axId val="38560513"/>
        <c:axId val="33336455"/>
      </c:barChart>
      <c:catAx>
        <c:axId val="3856051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3336455"/>
        <c:crosses val="autoZero"/>
        <c:auto val="1"/>
        <c:lblAlgn val="ctr"/>
        <c:lblOffset val="100"/>
      </c:catAx>
      <c:valAx>
        <c:axId val="3333645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8560513"/>
        <c:crosses val="autoZero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Defect Status Percentage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</c:spPr>
          <c:explosion val="0"/>
          <c:dPt>
            <c:idx val="0"/>
            <c:spPr>
              <a:solidFill>
                <a:srgbClr val="ffc000"/>
              </a:solidFill>
              <a:ln w="19080">
                <a:noFill/>
              </a:ln>
            </c:spPr>
          </c:dPt>
          <c:dPt>
            <c:idx val="1"/>
            <c:spPr>
              <a:solidFill>
                <a:srgbClr val="92d050"/>
              </a:solidFill>
              <a:ln w="19080">
                <a:noFill/>
              </a:ln>
            </c:spPr>
          </c:dPt>
          <c:dLbls>
            <c:numFmt formatCode="0%" sourceLinked="1"/>
            <c:dLbl>
              <c:idx val="0"/>
              <c:txPr>
                <a:bodyPr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txPr>
                <a:bodyPr/>
                <a:lstStyle/>
                <a:p>
                  <a:pPr>
                    <a:defRPr b="0" sz="900" spc="-1" strike="noStrike">
                      <a:solidFill>
                        <a:srgbClr val="404040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</c:dLbl>
            <c:txPr>
              <a:bodyPr/>
              <a:lstStyle/>
              <a:p>
                <a:pPr>
                  <a:defRPr b="0" sz="9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'4-Metrics'!$B$19:$B$20</c:f>
              <c:strCache>
                <c:ptCount val="2"/>
                <c:pt idx="0">
                  <c:v>Total Open Defects</c:v>
                </c:pt>
                <c:pt idx="1">
                  <c:v>Total Closed Defects</c:v>
                </c:pt>
              </c:strCache>
            </c:strRef>
          </c:cat>
          <c:val>
            <c:numRef>
              <c:f>'4-Metrics'!$D$19:$D$20</c:f>
              <c:numCache>
                <c:formatCode>General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595959"/>
                </a:solidFill>
                <a:latin typeface="Calibri"/>
              </a:defRPr>
            </a:pPr>
            <a:r>
              <a:rPr b="1" sz="1600" spc="-1" strike="noStrike">
                <a:solidFill>
                  <a:srgbClr val="595959"/>
                </a:solidFill>
                <a:latin typeface="Calibri"/>
              </a:rPr>
              <a:t>Plan Vs Actual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spPr>
            <a:solidFill>
              <a:srgbClr val="4f81bd"/>
            </a:solidFill>
            <a:ln w="34920">
              <a:solidFill>
                <a:srgbClr val="4f81bd"/>
              </a:solidFill>
              <a:round/>
            </a:ln>
          </c:spPr>
          <c:marker>
            <c:symbol val="none"/>
          </c:marker>
          <c:smooth val="0"/>
        </c:ser>
        <c:ser>
          <c:idx val="1"/>
          <c:order val="1"/>
          <c:spPr>
            <a:solidFill>
              <a:srgbClr val="c0504d"/>
            </a:solidFill>
            <a:ln w="34920">
              <a:solidFill>
                <a:srgbClr val="c0504d"/>
              </a:solidFill>
              <a:round/>
            </a:ln>
          </c:spPr>
          <c:marker>
            <c:symbol val="none"/>
          </c:marker>
          <c:smooth val="0"/>
        </c:ser>
        <c:hiLowLines>
          <c:spPr>
            <a:ln>
              <a:noFill/>
            </a:ln>
          </c:spPr>
        </c:hiLowLines>
        <c:marker val="0"/>
        <c:axId val="72403844"/>
        <c:axId val="62556357"/>
      </c:lineChart>
      <c:catAx>
        <c:axId val="72403844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2556357"/>
        <c:crosses val="autoZero"/>
        <c:auto val="1"/>
        <c:lblAlgn val="ctr"/>
        <c:lblOffset val="100"/>
      </c:catAx>
      <c:valAx>
        <c:axId val="62556357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2403844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8.xml"/><Relationship Id="rId2" Type="http://schemas.openxmlformats.org/officeDocument/2006/relationships/chart" Target="../charts/chart9.xml"/><Relationship Id="rId3" Type="http://schemas.openxmlformats.org/officeDocument/2006/relationships/chart" Target="../charts/chart10.xml"/><Relationship Id="rId4" Type="http://schemas.openxmlformats.org/officeDocument/2006/relationships/chart" Target="../charts/chart11.xml"/><Relationship Id="rId5" Type="http://schemas.openxmlformats.org/officeDocument/2006/relationships/chart" Target="../charts/chart12.xml"/><Relationship Id="rId6" Type="http://schemas.openxmlformats.org/officeDocument/2006/relationships/chart" Target="../charts/chart13.xml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chart" Target="../charts/chart1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9360</xdr:colOff>
      <xdr:row>25</xdr:row>
      <xdr:rowOff>4680</xdr:rowOff>
    </xdr:from>
    <xdr:to>
      <xdr:col>4</xdr:col>
      <xdr:colOff>9000</xdr:colOff>
      <xdr:row>36</xdr:row>
      <xdr:rowOff>9000</xdr:rowOff>
    </xdr:to>
    <xdr:graphicFrame>
      <xdr:nvGraphicFramePr>
        <xdr:cNvPr id="0" name="Chart 1"/>
        <xdr:cNvGraphicFramePr/>
      </xdr:nvGraphicFramePr>
      <xdr:xfrm>
        <a:off x="9360" y="4824000"/>
        <a:ext cx="3940200" cy="2099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28440</xdr:colOff>
      <xdr:row>49</xdr:row>
      <xdr:rowOff>71280</xdr:rowOff>
    </xdr:from>
    <xdr:to>
      <xdr:col>4</xdr:col>
      <xdr:colOff>9000</xdr:colOff>
      <xdr:row>60</xdr:row>
      <xdr:rowOff>56520</xdr:rowOff>
    </xdr:to>
    <xdr:graphicFrame>
      <xdr:nvGraphicFramePr>
        <xdr:cNvPr id="1" name="Chart 2"/>
        <xdr:cNvGraphicFramePr/>
      </xdr:nvGraphicFramePr>
      <xdr:xfrm>
        <a:off x="28440" y="9462600"/>
        <a:ext cx="3921120" cy="2080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19080</xdr:colOff>
      <xdr:row>37</xdr:row>
      <xdr:rowOff>0</xdr:rowOff>
    </xdr:from>
    <xdr:to>
      <xdr:col>3</xdr:col>
      <xdr:colOff>599760</xdr:colOff>
      <xdr:row>48</xdr:row>
      <xdr:rowOff>37800</xdr:rowOff>
    </xdr:to>
    <xdr:graphicFrame>
      <xdr:nvGraphicFramePr>
        <xdr:cNvPr id="2" name="Chart 4"/>
        <xdr:cNvGraphicFramePr/>
      </xdr:nvGraphicFramePr>
      <xdr:xfrm>
        <a:off x="19080" y="7105320"/>
        <a:ext cx="3876120" cy="2133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28440</xdr:colOff>
      <xdr:row>61</xdr:row>
      <xdr:rowOff>42840</xdr:rowOff>
    </xdr:from>
    <xdr:to>
      <xdr:col>4</xdr:col>
      <xdr:colOff>28080</xdr:colOff>
      <xdr:row>72</xdr:row>
      <xdr:rowOff>28080</xdr:rowOff>
    </xdr:to>
    <xdr:graphicFrame>
      <xdr:nvGraphicFramePr>
        <xdr:cNvPr id="3" name="Chart 5"/>
        <xdr:cNvGraphicFramePr/>
      </xdr:nvGraphicFramePr>
      <xdr:xfrm>
        <a:off x="28440" y="11720160"/>
        <a:ext cx="3940200" cy="2080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9360</xdr:colOff>
      <xdr:row>73</xdr:row>
      <xdr:rowOff>42840</xdr:rowOff>
    </xdr:from>
    <xdr:to>
      <xdr:col>4</xdr:col>
      <xdr:colOff>9000</xdr:colOff>
      <xdr:row>84</xdr:row>
      <xdr:rowOff>75960</xdr:rowOff>
    </xdr:to>
    <xdr:graphicFrame>
      <xdr:nvGraphicFramePr>
        <xdr:cNvPr id="4" name="Chart 3"/>
        <xdr:cNvGraphicFramePr/>
      </xdr:nvGraphicFramePr>
      <xdr:xfrm>
        <a:off x="9360" y="14006160"/>
        <a:ext cx="3940200" cy="2128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9360</xdr:colOff>
      <xdr:row>85</xdr:row>
      <xdr:rowOff>71280</xdr:rowOff>
    </xdr:from>
    <xdr:to>
      <xdr:col>4</xdr:col>
      <xdr:colOff>37440</xdr:colOff>
      <xdr:row>96</xdr:row>
      <xdr:rowOff>66240</xdr:rowOff>
    </xdr:to>
    <xdr:graphicFrame>
      <xdr:nvGraphicFramePr>
        <xdr:cNvPr id="5" name="Chart 7"/>
        <xdr:cNvGraphicFramePr/>
      </xdr:nvGraphicFramePr>
      <xdr:xfrm>
        <a:off x="9360" y="16320600"/>
        <a:ext cx="3968640" cy="2090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1266840</xdr:colOff>
      <xdr:row>35</xdr:row>
      <xdr:rowOff>176040</xdr:rowOff>
    </xdr:from>
    <xdr:to>
      <xdr:col>11</xdr:col>
      <xdr:colOff>142560</xdr:colOff>
      <xdr:row>50</xdr:row>
      <xdr:rowOff>61560</xdr:rowOff>
    </xdr:to>
    <xdr:graphicFrame>
      <xdr:nvGraphicFramePr>
        <xdr:cNvPr id="6" name="Chart 7"/>
        <xdr:cNvGraphicFramePr/>
      </xdr:nvGraphicFramePr>
      <xdr:xfrm>
        <a:off x="1266840" y="7224480"/>
        <a:ext cx="80442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_rels/pivotCacheDefinition3.xml.rels><?xml version="1.0" encoding="UTF-8"?>
<Relationships xmlns="http://schemas.openxmlformats.org/package/2006/relationships"><Relationship Id="rId1" Type="http://schemas.openxmlformats.org/officeDocument/2006/relationships/pivotCacheRecords" Target="pivotCacheRecords3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2" createdVersion="3">
  <cacheSource type="worksheet">
    <worksheetSource ref="A:G" sheet="TCER Data"/>
  </cacheSource>
  <cacheFields count="7">
    <cacheField name="TEST_FOLDER" numFmtId="0">
      <sharedItems containsBlank="1" count="5">
        <s v="Fold1"/>
        <s v="Fold2"/>
        <s v="Fold3"/>
        <s v="Fold4"/>
        <m/>
      </sharedItems>
    </cacheField>
    <cacheField name="TEST_SET" numFmtId="0">
      <sharedItems containsBlank="1" count="7">
        <s v="Set1"/>
        <s v="Set2"/>
        <s v="Set3"/>
        <s v="Set4"/>
        <s v="Set5"/>
        <s v="Set6"/>
        <m/>
      </sharedItems>
    </cacheField>
    <cacheField name="TEST_STATUS" numFmtId="0">
      <sharedItems containsBlank="1" count="9">
        <s v="Blocked"/>
        <s v="Failed"/>
        <s v="Functionality Not delivered"/>
        <s v="N/A"/>
        <s v="No Run"/>
        <s v="Not Completed"/>
        <s v="Passed"/>
        <s v="Retest"/>
        <m/>
      </sharedItems>
    </cacheField>
    <cacheField name="TESTER" numFmtId="0">
      <sharedItems containsBlank="1" count="5">
        <s v="Tester1"/>
        <s v="Tester2"/>
        <s v="Tester3"/>
        <s v="Tester4"/>
        <m/>
      </sharedItems>
    </cacheField>
    <cacheField name="PLAN_EXECUTION_DATE" numFmtId="0">
      <sharedItems containsString="0" containsBlank="1" count="1">
        <m/>
      </sharedItems>
    </cacheField>
    <cacheField name="ACTUAL_EXECUTION_DATE" numFmtId="0">
      <sharedItems containsNonDate="0" containsDate="1" containsString="0" containsBlank="1" minDate="2016-09-20T00:00:00" maxDate="2016-09-23T00:00:00" count="5">
        <d v="2016-09-20T00:00:00"/>
        <d v="2016-09-21T00:00:00"/>
        <d v="2016-09-22T00:00:00"/>
        <d v="2016-09-23T00:00:00"/>
        <m/>
      </sharedItems>
    </cacheField>
    <cacheField name="TEST_PRIORITY" numFmtId="0">
      <sharedItems containsBlank="1" count="3">
        <s v="High"/>
        <s v="Medium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5" createdVersion="3">
  <cacheSource type="worksheet">
    <worksheetSource ref="A:P" sheet="Defects List"/>
  </cacheSource>
  <cacheFields count="16">
    <cacheField name="TEST_PHASE" numFmtId="0">
      <sharedItems containsBlank="1" count="2">
        <s v="4. UAT"/>
        <m/>
      </sharedItems>
    </cacheField>
    <cacheField name="DEFECT_ID" numFmtId="0">
      <sharedItems containsString="0" containsBlank="1" containsNumber="1" containsInteger="1" minValue="2" maxValue="6" count="6">
        <n v="2"/>
        <n v="3"/>
        <n v="4"/>
        <n v="5"/>
        <n v="6"/>
        <m/>
      </sharedItems>
    </cacheField>
    <cacheField name="SUMMARY" numFmtId="0">
      <sharedItems containsBlank="1" count="6">
        <s v="UAT1"/>
        <s v="UAT2"/>
        <s v="UAT3"/>
        <s v="UAT4"/>
        <s v="UAT5"/>
        <m/>
      </sharedItems>
    </cacheField>
    <cacheField name="COMPONENT" numFmtId="0">
      <sharedItems containsBlank="1" count="4">
        <s v="ARBOR"/>
        <s v="OPOM"/>
        <s v="SOS"/>
        <m/>
      </sharedItems>
    </cacheField>
    <cacheField name="SEVERITY" numFmtId="0">
      <sharedItems containsBlank="1" count="5">
        <s v="1 - Critical"/>
        <s v="2 - High"/>
        <s v="3 - Low"/>
        <s v="3 - Medium"/>
        <m/>
      </sharedItems>
    </cacheField>
    <cacheField name="PRIORITY" numFmtId="0">
      <sharedItems containsBlank="1" count="2">
        <s v="P2 - Mandatory"/>
        <m/>
      </sharedItems>
    </cacheField>
    <cacheField name="STATUS" numFmtId="0">
      <sharedItems containsBlank="1" count="3">
        <s v="Closed"/>
        <s v="Open"/>
        <m/>
      </sharedItems>
    </cacheField>
    <cacheField name="ASSIGNED_TO" numFmtId="0">
      <sharedItems containsBlank="1" count="4">
        <s v="Tester1"/>
        <s v="Tester2"/>
        <s v="Tester3"/>
        <m/>
      </sharedItems>
    </cacheField>
    <cacheField name="DETECTED_BY" numFmtId="0">
      <sharedItems containsBlank="1" count="4">
        <s v="Tester1"/>
        <s v="Tester2"/>
        <s v="Tester3"/>
        <m/>
      </sharedItems>
    </cacheField>
    <cacheField name="DETECTION_DATE" numFmtId="0">
      <sharedItems containsNonDate="0" containsDate="1" containsString="0" containsBlank="1" minDate="2016-08-30T00:00:00" maxDate="2016-09-09T00:00:00" count="6">
        <d v="2016-08-30T00:00:00"/>
        <d v="2016-08-31T00:00:00"/>
        <d v="2016-09-01T00:00:00"/>
        <d v="2016-09-07T00:00:00"/>
        <d v="2016-09-09T00:00:00"/>
        <m/>
      </sharedItems>
    </cacheField>
    <cacheField name="CLOSING_DATE" numFmtId="0">
      <sharedItems containsNonDate="0" containsDate="1" containsString="0" containsBlank="1" minDate="2016-08-31T00:00:00" maxDate="2016-09-20T00:00:00" count="4">
        <d v="2016-08-31T00:00:00"/>
        <d v="2016-09-03T00:00:00"/>
        <d v="2016-09-20T00:00:00"/>
        <m/>
      </sharedItems>
    </cacheField>
    <cacheField name="ROOT_CAUSE" numFmtId="0">
      <sharedItems containsBlank="1" count="4">
        <s v="Application Code"/>
        <s v="Configuration"/>
        <s v="Invalid Defect"/>
        <m/>
      </sharedItems>
    </cacheField>
    <cacheField name="ROOT_CAUSE_DETAILS" numFmtId="0">
      <sharedItems containsBlank="1" count="4">
        <s v="Application - Code"/>
        <s v="Configuration - Application"/>
        <s v="Not a Requirement"/>
        <m/>
      </sharedItems>
    </cacheField>
    <cacheField name="RESOLUTION" numFmtId="0">
      <sharedItems containsBlank="1" count="4">
        <s v="Assigned"/>
        <s v="Ready to Test"/>
        <s v="Verified"/>
        <m/>
      </sharedItems>
    </cacheField>
    <cacheField name="ATTACHMENT" numFmtId="0">
      <sharedItems containsBlank="1" count="2">
        <s v="Y"/>
        <m/>
      </sharedItems>
    </cacheField>
    <cacheField name="SUBJECT" numFmtId="0">
      <sharedItems containsBlank="1" count="4">
        <s v="Sub1"/>
        <s v="Sub2"/>
        <s v="Sub3"/>
        <m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cordCount="12" createdVersion="3">
  <cacheSource type="worksheet">
    <worksheetSource ref="B:F" sheet="TCER Data"/>
  </cacheSource>
  <cacheFields count="5">
    <cacheField name="TEST_SET" numFmtId="0">
      <sharedItems containsBlank="1" count="7">
        <s v="Set1"/>
        <s v="Set2"/>
        <s v="Set3"/>
        <s v="Set4"/>
        <s v="Set5"/>
        <s v="Set6"/>
        <m/>
      </sharedItems>
    </cacheField>
    <cacheField name="TEST_STATUS" numFmtId="0">
      <sharedItems containsBlank="1" count="9">
        <s v="Blocked"/>
        <s v="Failed"/>
        <s v="Functionality Not delivered"/>
        <s v="N/A"/>
        <s v="No Run"/>
        <s v="Not Completed"/>
        <s v="Passed"/>
        <s v="Retest"/>
        <m/>
      </sharedItems>
    </cacheField>
    <cacheField name="TESTER" numFmtId="0">
      <sharedItems containsBlank="1" count="5">
        <s v="Tester1"/>
        <s v="Tester2"/>
        <s v="Tester3"/>
        <s v="Tester4"/>
        <m/>
      </sharedItems>
    </cacheField>
    <cacheField name="PLAN_EXECUTION_DATE" numFmtId="0">
      <sharedItems containsString="0" containsBlank="1" count="1">
        <m/>
      </sharedItems>
    </cacheField>
    <cacheField name="ACTUAL_EXECUTION_DATE" numFmtId="0">
      <sharedItems containsNonDate="0" containsDate="1" containsString="0" containsBlank="1" minDate="2016-09-20T00:00:00" maxDate="2016-09-23T00:00:00" count="5">
        <d v="2016-09-20T00:00:00"/>
        <d v="2016-09-21T00:00:00"/>
        <d v="2016-09-22T00:00:00"/>
        <d v="2016-09-23T00:00:00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5"/>
    <x v="0"/>
    <x v="0"/>
    <x v="0"/>
    <x v="0"/>
  </r>
  <r>
    <x v="0"/>
    <x v="0"/>
    <x v="6"/>
    <x v="0"/>
    <x v="0"/>
    <x v="0"/>
    <x v="0"/>
  </r>
  <r>
    <x v="0"/>
    <x v="1"/>
    <x v="1"/>
    <x v="1"/>
    <x v="0"/>
    <x v="0"/>
    <x v="0"/>
  </r>
  <r>
    <x v="0"/>
    <x v="1"/>
    <x v="5"/>
    <x v="1"/>
    <x v="0"/>
    <x v="0"/>
    <x v="1"/>
  </r>
  <r>
    <x v="1"/>
    <x v="2"/>
    <x v="0"/>
    <x v="0"/>
    <x v="0"/>
    <x v="1"/>
    <x v="1"/>
  </r>
  <r>
    <x v="1"/>
    <x v="2"/>
    <x v="4"/>
    <x v="1"/>
    <x v="0"/>
    <x v="2"/>
    <x v="1"/>
  </r>
  <r>
    <x v="1"/>
    <x v="2"/>
    <x v="3"/>
    <x v="2"/>
    <x v="0"/>
    <x v="2"/>
    <x v="0"/>
  </r>
  <r>
    <x v="2"/>
    <x v="3"/>
    <x v="2"/>
    <x v="2"/>
    <x v="0"/>
    <x v="2"/>
    <x v="0"/>
  </r>
  <r>
    <x v="2"/>
    <x v="3"/>
    <x v="7"/>
    <x v="2"/>
    <x v="0"/>
    <x v="2"/>
    <x v="0"/>
  </r>
  <r>
    <x v="3"/>
    <x v="4"/>
    <x v="6"/>
    <x v="0"/>
    <x v="0"/>
    <x v="3"/>
    <x v="0"/>
  </r>
  <r>
    <x v="3"/>
    <x v="4"/>
    <x v="1"/>
    <x v="1"/>
    <x v="0"/>
    <x v="3"/>
    <x v="0"/>
  </r>
  <r>
    <x v="3"/>
    <x v="5"/>
    <x v="0"/>
    <x v="3"/>
    <x v="0"/>
    <x v="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">
  <r>
    <x v="0"/>
    <x v="0"/>
    <x v="0"/>
    <x v="0"/>
    <x v="0"/>
    <x v="0"/>
    <x v="0"/>
    <x v="0"/>
    <x v="0"/>
    <x v="0"/>
    <x v="0"/>
    <x v="1"/>
    <x v="1"/>
    <x v="2"/>
    <x v="0"/>
    <x v="0"/>
  </r>
  <r>
    <x v="0"/>
    <x v="1"/>
    <x v="1"/>
    <x v="0"/>
    <x v="3"/>
    <x v="0"/>
    <x v="1"/>
    <x v="0"/>
    <x v="0"/>
    <x v="1"/>
    <x v="3"/>
    <x v="3"/>
    <x v="3"/>
    <x v="0"/>
    <x v="0"/>
    <x v="0"/>
  </r>
  <r>
    <x v="0"/>
    <x v="2"/>
    <x v="2"/>
    <x v="2"/>
    <x v="1"/>
    <x v="0"/>
    <x v="0"/>
    <x v="2"/>
    <x v="2"/>
    <x v="2"/>
    <x v="1"/>
    <x v="1"/>
    <x v="1"/>
    <x v="2"/>
    <x v="0"/>
    <x v="1"/>
  </r>
  <r>
    <x v="0"/>
    <x v="3"/>
    <x v="3"/>
    <x v="2"/>
    <x v="3"/>
    <x v="0"/>
    <x v="1"/>
    <x v="1"/>
    <x v="1"/>
    <x v="3"/>
    <x v="3"/>
    <x v="2"/>
    <x v="2"/>
    <x v="1"/>
    <x v="0"/>
    <x v="1"/>
  </r>
  <r>
    <x v="0"/>
    <x v="4"/>
    <x v="4"/>
    <x v="1"/>
    <x v="2"/>
    <x v="0"/>
    <x v="0"/>
    <x v="2"/>
    <x v="2"/>
    <x v="4"/>
    <x v="2"/>
    <x v="0"/>
    <x v="0"/>
    <x v="2"/>
    <x v="0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">
  <r>
    <x v="0"/>
    <x v="5"/>
    <x v="0"/>
    <x v="0"/>
    <x v="0"/>
  </r>
  <r>
    <x v="0"/>
    <x v="6"/>
    <x v="0"/>
    <x v="0"/>
    <x v="0"/>
  </r>
  <r>
    <x v="1"/>
    <x v="1"/>
    <x v="1"/>
    <x v="0"/>
    <x v="0"/>
  </r>
  <r>
    <x v="1"/>
    <x v="5"/>
    <x v="1"/>
    <x v="0"/>
    <x v="0"/>
  </r>
  <r>
    <x v="2"/>
    <x v="0"/>
    <x v="0"/>
    <x v="0"/>
    <x v="1"/>
  </r>
  <r>
    <x v="2"/>
    <x v="4"/>
    <x v="1"/>
    <x v="0"/>
    <x v="2"/>
  </r>
  <r>
    <x v="2"/>
    <x v="3"/>
    <x v="2"/>
    <x v="0"/>
    <x v="2"/>
  </r>
  <r>
    <x v="3"/>
    <x v="2"/>
    <x v="2"/>
    <x v="0"/>
    <x v="2"/>
  </r>
  <r>
    <x v="3"/>
    <x v="7"/>
    <x v="2"/>
    <x v="0"/>
    <x v="2"/>
  </r>
  <r>
    <x v="4"/>
    <x v="6"/>
    <x v="0"/>
    <x v="0"/>
    <x v="3"/>
  </r>
  <r>
    <x v="4"/>
    <x v="1"/>
    <x v="1"/>
    <x v="0"/>
    <x v="3"/>
  </r>
  <r>
    <x v="5"/>
    <x v="0"/>
    <x v="3"/>
    <x v="0"/>
    <x v="2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3.xml"/>
</Relationships>
</file>

<file path=xl/pivotTables/pivotTable1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6:K18" firstHeaderRow="1" firstDataRow="2" firstDataCol="2" rowPageCount="1" colPageCount="1"/>
  <pivotFields count="7">
    <pivotField axis="axisRow" showAll="0" compact="0">
      <items count="6">
        <item x="4"/>
        <item x="0"/>
        <item x="1"/>
        <item x="2"/>
        <item x="3"/>
        <item t="default"/>
      </items>
    </pivotField>
    <pivotField axis="axisRow" showAll="0" defaultSubtotal="0" compact="0">
      <items count="7">
        <item x="6"/>
        <item x="0"/>
        <item x="1"/>
        <item x="2"/>
        <item x="3"/>
        <item x="4"/>
        <item x="5"/>
      </items>
    </pivotField>
    <pivotField axis="axisCol" showAll="0" compact="0">
      <items count="10">
        <item h="1" x="8"/>
        <item x="6"/>
        <item x="1"/>
        <item x="0"/>
        <item x="5"/>
        <item x="4"/>
        <item x="3"/>
        <item x="2"/>
        <item x="7"/>
        <item t="default"/>
      </items>
    </pivotField>
    <pivotField showAll="0" compact="0"/>
    <pivotField showAll="0" compact="0"/>
    <pivotField showAll="0" compact="0"/>
    <pivotField axis="axisPage" showAll="0" compact="0">
      <items count="4">
        <item x="2"/>
        <item x="0"/>
        <item x="1"/>
        <item t="default"/>
      </items>
    </pivotField>
  </pivotFields>
  <rowFields count="2">
    <field x="0"/>
    <field x="1"/>
  </rowFields>
  <colFields count="1">
    <field x="2"/>
  </colFields>
  <pageFields count="1">
    <pageField fld="6" hier="-1"/>
  </pageFields>
  <dataFields count="1">
    <dataField fld="2" subtotal="count"/>
  </dataFields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6:G13" firstHeaderRow="1" firstDataRow="3" firstDataCol="1" rowPageCount="1" colPageCount="1"/>
  <pivotFields count="16">
    <pivotField axis="axisPage" showAll="0" compact="0">
      <items count="3">
        <item x="1"/>
        <item x="0"/>
        <item t="default"/>
      </items>
    </pivotField>
    <pivotField dataField="1" showAll="0" compact="0"/>
    <pivotField showAll="0" compact="0"/>
    <pivotField showAll="0" compact="0"/>
    <pivotField axis="axisRow" showAll="0" compact="0">
      <items count="6">
        <item x="0"/>
        <item x="1"/>
        <item x="2"/>
        <item x="3"/>
        <item x="4"/>
        <item t="default"/>
      </items>
    </pivotField>
    <pivotField showAll="0" compact="0"/>
    <pivotField axis="axisCol" showAll="0" compact="0">
      <items count="4">
        <item h="1" x="2"/>
        <item x="0"/>
        <item x="1"/>
        <item t="default"/>
      </items>
    </pivotField>
    <pivotField showAll="0" compact="0"/>
    <pivotField showAll="0" compact="0"/>
    <pivotField showAll="0" compact="0"/>
    <pivotField showAll="0" compact="0"/>
    <pivotField showAll="0" compact="0"/>
    <pivotField showAll="0" compact="0"/>
    <pivotField axis="axisCol" showAll="0" compact="0">
      <items count="5">
        <item x="3"/>
        <item x="2"/>
        <item x="0"/>
        <item x="1"/>
        <item t="default"/>
      </items>
    </pivotField>
    <pivotField showAll="0" compact="0"/>
    <pivotField showAll="0" compact="0"/>
  </pivotFields>
  <rowFields count="1">
    <field x="4"/>
  </rowFields>
  <colFields count="2">
    <field x="6"/>
    <field x="13"/>
  </colFields>
  <pageFields count="1">
    <pageField fld="0" hier="-1"/>
  </pageFields>
  <dataFields count="1">
    <dataField fld="1" subtotal="count"/>
  </dataFields>
</pivotTableDefinition>
</file>

<file path=xl/pivotTables/pivotTable3.xml><?xml version="1.0" encoding="utf-8"?>
<pivotTableDefinition xmlns="http://schemas.openxmlformats.org/spreadsheetml/2006/main" name="PivotTable6" cacheId="3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4:F10" firstHeaderRow="1" firstDataRow="2" firstDataCol="1"/>
  <pivotFields count="5">
    <pivotField showAll="0" compact="0"/>
    <pivotField dataField="1" showAll="0" compact="0"/>
    <pivotField axis="axisRow" showAll="0" compact="0">
      <items count="6">
        <item x="4"/>
        <item x="0"/>
        <item x="1"/>
        <item x="2"/>
        <item x="3"/>
        <item t="default"/>
      </items>
    </pivotField>
    <pivotField showAll="0" compact="0"/>
    <pivotField axis="axisCol" showAll="0" compact="0">
      <items count="6">
        <item x="0"/>
        <item x="1"/>
        <item x="2"/>
        <item x="3"/>
        <item h="1" x="4"/>
        <item t="default"/>
      </items>
    </pivotField>
  </pivotFields>
  <rowFields count="1">
    <field x="2"/>
  </rowFields>
  <colFields count="1">
    <field x="4"/>
  </colFields>
  <dataFields count="1">
    <dataField fld="1" subtotal="count"/>
  </dataFields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aa00329461@techmahindra.com" TargetMode="External"/><Relationship Id="rId2" Type="http://schemas.openxmlformats.org/officeDocument/2006/relationships/hyperlink" Target="mailto:AJWtech@gmail.com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pivotTable" Target="../pivotTables/pivotTable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1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pivotTable" Target="../pivotTables/pivotTable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D1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20" activeCellId="0" sqref="C20"/>
    </sheetView>
  </sheetViews>
  <sheetFormatPr defaultRowHeight="15" zeroHeight="false" outlineLevelRow="0" outlineLevelCol="0"/>
  <cols>
    <col collapsed="false" customWidth="true" hidden="false" outlineLevel="0" max="1" min="1" style="0" width="8.54"/>
    <col collapsed="false" customWidth="true" hidden="false" outlineLevel="0" max="2" min="2" style="0" width="22.57"/>
    <col collapsed="false" customWidth="true" hidden="false" outlineLevel="0" max="3" min="3" style="0" width="41.08"/>
    <col collapsed="false" customWidth="true" hidden="false" outlineLevel="0" max="4" min="4" style="0" width="27.14"/>
    <col collapsed="false" customWidth="true" hidden="false" outlineLevel="0" max="1025" min="5" style="0" width="8.54"/>
  </cols>
  <sheetData>
    <row r="2" customFormat="false" ht="15" hidden="false" customHeight="false" outlineLevel="0" collapsed="false">
      <c r="B2" s="1" t="s">
        <v>0</v>
      </c>
      <c r="C2" s="1"/>
    </row>
    <row r="3" customFormat="false" ht="15" hidden="false" customHeight="false" outlineLevel="0" collapsed="false">
      <c r="B3" s="2" t="s">
        <v>1</v>
      </c>
      <c r="C3" s="3" t="s">
        <v>2</v>
      </c>
    </row>
    <row r="4" customFormat="false" ht="13.8" hidden="false" customHeight="false" outlineLevel="0" collapsed="false">
      <c r="B4" s="2" t="s">
        <v>3</v>
      </c>
      <c r="C4" s="4"/>
    </row>
    <row r="5" customFormat="false" ht="15" hidden="false" customHeight="false" outlineLevel="0" collapsed="false">
      <c r="B5" s="5" t="s">
        <v>4</v>
      </c>
      <c r="C5" s="3" t="s">
        <v>5</v>
      </c>
    </row>
    <row r="6" customFormat="false" ht="13.8" hidden="false" customHeight="false" outlineLevel="0" collapsed="false">
      <c r="B6" s="6" t="s">
        <v>6</v>
      </c>
      <c r="C6" s="5" t="s">
        <v>7</v>
      </c>
    </row>
    <row r="7" customFormat="false" ht="13.8" hidden="false" customHeight="false" outlineLevel="0" collapsed="false">
      <c r="B7" s="0" t="s">
        <v>6</v>
      </c>
      <c r="C7" s="0" t="s">
        <v>8</v>
      </c>
    </row>
    <row r="9" customFormat="false" ht="15" hidden="false" customHeight="false" outlineLevel="0" collapsed="false">
      <c r="B9" s="1" t="s">
        <v>9</v>
      </c>
      <c r="C9" s="1"/>
      <c r="D9" s="1"/>
    </row>
    <row r="10" customFormat="false" ht="15" hidden="false" customHeight="false" outlineLevel="0" collapsed="false">
      <c r="B10" s="7" t="s">
        <v>10</v>
      </c>
      <c r="C10" s="7" t="s">
        <v>11</v>
      </c>
      <c r="D10" s="7" t="s">
        <v>12</v>
      </c>
    </row>
    <row r="11" customFormat="false" ht="15" hidden="false" customHeight="false" outlineLevel="0" collapsed="false">
      <c r="B11" s="8" t="n">
        <v>0.1</v>
      </c>
      <c r="C11" s="9" t="n">
        <v>42615</v>
      </c>
      <c r="D11" s="2" t="s">
        <v>13</v>
      </c>
    </row>
    <row r="12" customFormat="false" ht="15" hidden="false" customHeight="false" outlineLevel="0" collapsed="false">
      <c r="B12" s="8" t="n">
        <v>0.2</v>
      </c>
      <c r="C12" s="9" t="n">
        <v>42637</v>
      </c>
      <c r="D12" s="5" t="s">
        <v>14</v>
      </c>
    </row>
    <row r="13" customFormat="false" ht="15" hidden="false" customHeight="false" outlineLevel="0" collapsed="false">
      <c r="B13" s="0" t="s">
        <v>15</v>
      </c>
      <c r="C13" s="10" t="n">
        <v>44090</v>
      </c>
      <c r="D13" s="0" t="s">
        <v>16</v>
      </c>
    </row>
    <row r="14" customFormat="false" ht="13.8" hidden="false" customHeight="false" outlineLevel="0" collapsed="false"/>
    <row r="15" customFormat="false" ht="15" hidden="false" customHeight="false" outlineLevel="0" collapsed="false">
      <c r="B15" s="1" t="s">
        <v>17</v>
      </c>
      <c r="C15" s="1"/>
    </row>
    <row r="16" customFormat="false" ht="15" hidden="false" customHeight="false" outlineLevel="0" collapsed="false">
      <c r="B16" s="11" t="s">
        <v>18</v>
      </c>
      <c r="C16" s="3"/>
    </row>
    <row r="17" customFormat="false" ht="15" hidden="false" customHeight="false" outlineLevel="0" collapsed="false">
      <c r="B17" s="2" t="s">
        <v>19</v>
      </c>
      <c r="C17" s="4"/>
    </row>
  </sheetData>
  <mergeCells count="3">
    <mergeCell ref="B2:C2"/>
    <mergeCell ref="B9:D9"/>
    <mergeCell ref="B15:C15"/>
  </mergeCells>
  <hyperlinks>
    <hyperlink ref="C6" r:id="rId1" display="aa00329461@techmahindra.com"/>
    <hyperlink ref="C7" r:id="rId2" display="AJWtech@gmail.com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6" activeCellId="0" sqref="B16"/>
    </sheetView>
  </sheetViews>
  <sheetFormatPr defaultRowHeight="15" zeroHeight="false" outlineLevelRow="0" outlineLevelCol="0"/>
  <cols>
    <col collapsed="false" customWidth="true" hidden="false" outlineLevel="0" max="1" min="1" style="0" width="34.58"/>
    <col collapsed="false" customWidth="true" hidden="false" outlineLevel="0" max="2" min="2" style="0" width="30.14"/>
    <col collapsed="false" customWidth="true" hidden="false" outlineLevel="0" max="3" min="3" style="0" width="9.29"/>
    <col collapsed="false" customWidth="true" hidden="false" outlineLevel="0" max="5" min="4" style="0" width="27.42"/>
    <col collapsed="false" customWidth="true" hidden="false" outlineLevel="0" max="1025" min="6" style="0" width="8.54"/>
  </cols>
  <sheetData>
    <row r="1" s="13" customFormat="true" ht="15" hidden="false" customHeight="false" outlineLevel="0" collapsed="false">
      <c r="A1" s="12" t="s">
        <v>20</v>
      </c>
      <c r="B1" s="12"/>
    </row>
    <row r="2" s="13" customFormat="true" ht="15" hidden="false" customHeight="false" outlineLevel="0" collapsed="false">
      <c r="A2" s="14" t="s">
        <v>21</v>
      </c>
      <c r="B2" s="15"/>
      <c r="D2" s="16" t="s">
        <v>22</v>
      </c>
    </row>
    <row r="3" s="13" customFormat="true" ht="13.8" hidden="false" customHeight="false" outlineLevel="0" collapsed="false">
      <c r="A3" s="14" t="s">
        <v>23</v>
      </c>
      <c r="B3" s="17"/>
      <c r="D3" s="16"/>
    </row>
    <row r="4" s="13" customFormat="true" ht="13.8" hidden="false" customHeight="false" outlineLevel="0" collapsed="false">
      <c r="A4" s="14" t="s">
        <v>24</v>
      </c>
      <c r="B4" s="17"/>
      <c r="D4" s="16"/>
    </row>
    <row r="5" s="13" customFormat="true" ht="15" hidden="false" customHeight="false" outlineLevel="0" collapsed="false">
      <c r="A5" s="14" t="s">
        <v>25</v>
      </c>
      <c r="B5" s="17"/>
      <c r="D5" s="16" t="s">
        <v>26</v>
      </c>
    </row>
    <row r="6" s="13" customFormat="true" ht="15" hidden="false" customHeight="false" outlineLevel="0" collapsed="false">
      <c r="A6" s="14" t="s">
        <v>27</v>
      </c>
      <c r="B6" s="17"/>
      <c r="D6" s="16" t="s">
        <v>28</v>
      </c>
    </row>
    <row r="7" s="13" customFormat="true" ht="15" hidden="false" customHeight="false" outlineLevel="0" collapsed="false">
      <c r="A7" s="14" t="s">
        <v>29</v>
      </c>
      <c r="B7" s="17"/>
      <c r="D7" s="16" t="s">
        <v>30</v>
      </c>
    </row>
    <row r="8" s="13" customFormat="true" ht="15.75" hidden="false" customHeight="true" outlineLevel="0" collapsed="false">
      <c r="A8" s="14" t="s">
        <v>31</v>
      </c>
      <c r="B8" s="17"/>
      <c r="D8" s="16" t="s">
        <v>32</v>
      </c>
    </row>
    <row r="9" s="13" customFormat="true" ht="15" hidden="false" customHeight="false" outlineLevel="0" collapsed="false"/>
    <row r="10" s="13" customFormat="true" ht="15" hidden="false" customHeight="false" outlineLevel="0" collapsed="false"/>
    <row r="11" s="18" customFormat="true" ht="15" hidden="false" customHeight="false" outlineLevel="0" collapsed="false"/>
    <row r="12" s="18" customFormat="true" ht="15" hidden="false" customHeight="false" outlineLevel="0" collapsed="false"/>
    <row r="13" s="18" customFormat="true" ht="15" hidden="false" customHeight="false" outlineLevel="0" collapsed="false"/>
  </sheetData>
  <mergeCells count="1">
    <mergeCell ref="A1:B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2" activeCellId="0" sqref="B12"/>
    </sheetView>
  </sheetViews>
  <sheetFormatPr defaultRowHeight="15" zeroHeight="false" outlineLevelRow="0" outlineLevelCol="0"/>
  <cols>
    <col collapsed="false" customWidth="true" hidden="false" outlineLevel="0" max="1" min="1" style="0" width="21.71"/>
    <col collapsed="false" customWidth="true" hidden="false" outlineLevel="0" max="2" min="2" style="0" width="12.86"/>
    <col collapsed="false" customWidth="true" hidden="false" outlineLevel="0" max="3" min="3" style="0" width="6.42"/>
    <col collapsed="false" customWidth="true" hidden="false" outlineLevel="0" max="4" min="4" style="0" width="8"/>
    <col collapsed="false" customWidth="true" hidden="false" outlineLevel="0" max="5" min="5" style="0" width="14.7"/>
    <col collapsed="false" customWidth="true" hidden="false" outlineLevel="0" max="6" min="6" style="0" width="7.42"/>
    <col collapsed="false" customWidth="true" hidden="false" outlineLevel="0" max="7" min="7" style="0" width="4.57"/>
    <col collapsed="false" customWidth="true" hidden="false" outlineLevel="0" max="8" min="8" style="0" width="25.86"/>
    <col collapsed="false" customWidth="true" hidden="false" outlineLevel="0" max="9" min="9" style="0" width="6.71"/>
    <col collapsed="false" customWidth="true" hidden="false" outlineLevel="0" max="10" min="10" style="0" width="11.29"/>
    <col collapsed="false" customWidth="true" hidden="false" outlineLevel="0" max="1025" min="11" style="0" width="8.54"/>
  </cols>
  <sheetData>
    <row r="1" customFormat="false" ht="15" hidden="false" customHeight="false" outlineLevel="0" collapsed="false">
      <c r="A1" s="19" t="s">
        <v>33</v>
      </c>
    </row>
    <row r="4" customFormat="false" ht="15" hidden="false" customHeight="false" outlineLevel="0" collapsed="false">
      <c r="A4" s="20" t="s">
        <v>34</v>
      </c>
      <c r="B4" s="21" t="s">
        <v>35</v>
      </c>
    </row>
    <row r="6" customFormat="false" ht="15" hidden="false" customHeight="false" outlineLevel="0" collapsed="false">
      <c r="A6" s="22" t="s">
        <v>36</v>
      </c>
      <c r="B6" s="23"/>
      <c r="C6" s="24" t="s">
        <v>37</v>
      </c>
      <c r="D6" s="25"/>
      <c r="E6" s="25"/>
      <c r="F6" s="25"/>
      <c r="G6" s="25"/>
      <c r="H6" s="25"/>
      <c r="I6" s="25"/>
      <c r="J6" s="25"/>
      <c r="K6" s="26"/>
    </row>
    <row r="7" customFormat="false" ht="15" hidden="false" customHeight="false" outlineLevel="0" collapsed="false">
      <c r="A7" s="27" t="s">
        <v>38</v>
      </c>
      <c r="B7" s="28" t="s">
        <v>39</v>
      </c>
      <c r="C7" s="29" t="s">
        <v>40</v>
      </c>
      <c r="D7" s="30" t="s">
        <v>41</v>
      </c>
      <c r="E7" s="30" t="s">
        <v>42</v>
      </c>
      <c r="F7" s="30" t="s">
        <v>43</v>
      </c>
      <c r="G7" s="30" t="s">
        <v>44</v>
      </c>
      <c r="H7" s="30" t="s">
        <v>45</v>
      </c>
      <c r="I7" s="30" t="s">
        <v>46</v>
      </c>
      <c r="J7" s="30" t="s">
        <v>47</v>
      </c>
      <c r="K7" s="31" t="s">
        <v>48</v>
      </c>
    </row>
    <row r="8" customFormat="false" ht="15" hidden="false" customHeight="false" outlineLevel="0" collapsed="false">
      <c r="A8" s="32" t="s">
        <v>49</v>
      </c>
      <c r="B8" s="33"/>
      <c r="C8" s="34" t="n">
        <v>1</v>
      </c>
      <c r="D8" s="35" t="n">
        <v>1</v>
      </c>
      <c r="E8" s="35"/>
      <c r="F8" s="35" t="n">
        <v>2</v>
      </c>
      <c r="G8" s="35"/>
      <c r="H8" s="35"/>
      <c r="I8" s="35"/>
      <c r="J8" s="36"/>
      <c r="K8" s="37" t="n">
        <v>4</v>
      </c>
    </row>
    <row r="9" customFormat="false" ht="15" hidden="false" customHeight="false" outlineLevel="0" collapsed="false">
      <c r="A9" s="38"/>
      <c r="B9" s="39" t="s">
        <v>50</v>
      </c>
      <c r="C9" s="40" t="n">
        <v>1</v>
      </c>
      <c r="D9" s="41"/>
      <c r="E9" s="41"/>
      <c r="F9" s="41" t="n">
        <v>1</v>
      </c>
      <c r="G9" s="41"/>
      <c r="H9" s="41"/>
      <c r="I9" s="41"/>
      <c r="J9" s="42"/>
      <c r="K9" s="43" t="n">
        <v>2</v>
      </c>
    </row>
    <row r="10" customFormat="false" ht="15" hidden="false" customHeight="false" outlineLevel="0" collapsed="false">
      <c r="A10" s="44"/>
      <c r="B10" s="45" t="s">
        <v>51</v>
      </c>
      <c r="C10" s="46"/>
      <c r="D10" s="47" t="n">
        <v>1</v>
      </c>
      <c r="E10" s="47"/>
      <c r="F10" s="47" t="n">
        <v>1</v>
      </c>
      <c r="G10" s="47"/>
      <c r="H10" s="47"/>
      <c r="I10" s="47"/>
      <c r="J10" s="48"/>
      <c r="K10" s="49" t="n">
        <v>2</v>
      </c>
    </row>
    <row r="11" customFormat="false" ht="15" hidden="false" customHeight="false" outlineLevel="0" collapsed="false">
      <c r="A11" s="32" t="s">
        <v>52</v>
      </c>
      <c r="B11" s="33"/>
      <c r="C11" s="35"/>
      <c r="D11" s="35"/>
      <c r="E11" s="35" t="n">
        <v>1</v>
      </c>
      <c r="F11" s="35"/>
      <c r="G11" s="35" t="n">
        <v>1</v>
      </c>
      <c r="H11" s="35" t="n">
        <v>1</v>
      </c>
      <c r="I11" s="35"/>
      <c r="J11" s="35"/>
      <c r="K11" s="37" t="n">
        <v>3</v>
      </c>
    </row>
    <row r="12" customFormat="false" ht="15" hidden="false" customHeight="false" outlineLevel="0" collapsed="false">
      <c r="A12" s="44"/>
      <c r="B12" s="45" t="s">
        <v>53</v>
      </c>
      <c r="C12" s="47"/>
      <c r="D12" s="47"/>
      <c r="E12" s="47" t="n">
        <v>1</v>
      </c>
      <c r="F12" s="47"/>
      <c r="G12" s="47" t="n">
        <v>1</v>
      </c>
      <c r="H12" s="47" t="n">
        <v>1</v>
      </c>
      <c r="I12" s="47"/>
      <c r="J12" s="47"/>
      <c r="K12" s="49" t="n">
        <v>3</v>
      </c>
    </row>
    <row r="13" customFormat="false" ht="15" hidden="false" customHeight="false" outlineLevel="0" collapsed="false">
      <c r="A13" s="32" t="s">
        <v>54</v>
      </c>
      <c r="B13" s="33"/>
      <c r="C13" s="34"/>
      <c r="D13" s="35"/>
      <c r="E13" s="35"/>
      <c r="F13" s="35"/>
      <c r="G13" s="35"/>
      <c r="H13" s="35"/>
      <c r="I13" s="35" t="n">
        <v>1</v>
      </c>
      <c r="J13" s="36" t="n">
        <v>1</v>
      </c>
      <c r="K13" s="37" t="n">
        <v>2</v>
      </c>
    </row>
    <row r="14" customFormat="false" ht="15" hidden="false" customHeight="false" outlineLevel="0" collapsed="false">
      <c r="A14" s="44"/>
      <c r="B14" s="45" t="s">
        <v>55</v>
      </c>
      <c r="C14" s="46"/>
      <c r="D14" s="47"/>
      <c r="E14" s="47"/>
      <c r="F14" s="47"/>
      <c r="G14" s="47"/>
      <c r="H14" s="47"/>
      <c r="I14" s="47" t="n">
        <v>1</v>
      </c>
      <c r="J14" s="48" t="n">
        <v>1</v>
      </c>
      <c r="K14" s="49" t="n">
        <v>2</v>
      </c>
    </row>
    <row r="15" customFormat="false" ht="15" hidden="false" customHeight="false" outlineLevel="0" collapsed="false">
      <c r="A15" s="32" t="s">
        <v>56</v>
      </c>
      <c r="B15" s="33"/>
      <c r="C15" s="35" t="n">
        <v>1</v>
      </c>
      <c r="D15" s="35" t="n">
        <v>1</v>
      </c>
      <c r="E15" s="35" t="n">
        <v>1</v>
      </c>
      <c r="F15" s="35"/>
      <c r="G15" s="35"/>
      <c r="H15" s="35"/>
      <c r="I15" s="35"/>
      <c r="J15" s="35"/>
      <c r="K15" s="37" t="n">
        <v>3</v>
      </c>
    </row>
    <row r="16" customFormat="false" ht="15" hidden="false" customHeight="false" outlineLevel="0" collapsed="false">
      <c r="A16" s="38"/>
      <c r="B16" s="39" t="s">
        <v>57</v>
      </c>
      <c r="C16" s="41" t="n">
        <v>1</v>
      </c>
      <c r="D16" s="41" t="n">
        <v>1</v>
      </c>
      <c r="E16" s="41"/>
      <c r="F16" s="41"/>
      <c r="G16" s="41"/>
      <c r="H16" s="41"/>
      <c r="I16" s="41"/>
      <c r="J16" s="41"/>
      <c r="K16" s="43" t="n">
        <v>2</v>
      </c>
    </row>
    <row r="17" customFormat="false" ht="15" hidden="false" customHeight="false" outlineLevel="0" collapsed="false">
      <c r="A17" s="44"/>
      <c r="B17" s="45" t="s">
        <v>58</v>
      </c>
      <c r="C17" s="47"/>
      <c r="D17" s="47"/>
      <c r="E17" s="47" t="n">
        <v>1</v>
      </c>
      <c r="F17" s="47"/>
      <c r="G17" s="47"/>
      <c r="H17" s="47"/>
      <c r="I17" s="47"/>
      <c r="J17" s="47"/>
      <c r="K17" s="49" t="n">
        <v>1</v>
      </c>
    </row>
    <row r="18" customFormat="false" ht="15" hidden="false" customHeight="false" outlineLevel="0" collapsed="false">
      <c r="A18" s="50" t="s">
        <v>48</v>
      </c>
      <c r="B18" s="51"/>
      <c r="C18" s="52" t="n">
        <v>2</v>
      </c>
      <c r="D18" s="53" t="n">
        <v>2</v>
      </c>
      <c r="E18" s="53" t="n">
        <v>2</v>
      </c>
      <c r="F18" s="53" t="n">
        <v>2</v>
      </c>
      <c r="G18" s="53" t="n">
        <v>1</v>
      </c>
      <c r="H18" s="53" t="n">
        <v>1</v>
      </c>
      <c r="I18" s="53" t="n">
        <v>1</v>
      </c>
      <c r="J18" s="54" t="n">
        <v>1</v>
      </c>
      <c r="K18" s="55" t="n">
        <v>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0" activeCellId="0" sqref="E10"/>
    </sheetView>
  </sheetViews>
  <sheetFormatPr defaultRowHeight="15" zeroHeight="false" outlineLevelRow="0" outlineLevelCol="0"/>
  <cols>
    <col collapsed="false" customWidth="true" hidden="false" outlineLevel="0" max="1" min="1" style="0" width="15.86"/>
    <col collapsed="false" customWidth="true" hidden="false" outlineLevel="0" max="2" min="2" style="0" width="8.86"/>
    <col collapsed="false" customWidth="true" hidden="false" outlineLevel="0" max="3" min="3" style="0" width="11.86"/>
    <col collapsed="false" customWidth="true" hidden="false" outlineLevel="0" max="4" min="4" style="0" width="9"/>
    <col collapsed="false" customWidth="true" hidden="false" outlineLevel="0" max="5" min="5" style="0" width="12.86"/>
    <col collapsed="false" customWidth="true" hidden="false" outlineLevel="0" max="6" min="6" style="0" width="10.71"/>
    <col collapsed="false" customWidth="true" hidden="false" outlineLevel="0" max="8" min="7" style="0" width="11.29"/>
    <col collapsed="false" customWidth="true" hidden="false" outlineLevel="0" max="9" min="9" style="0" width="10.71"/>
    <col collapsed="false" customWidth="true" hidden="false" outlineLevel="0" max="10" min="10" style="0" width="11.29"/>
    <col collapsed="false" customWidth="true" hidden="false" outlineLevel="0" max="11" min="11" style="0" width="5.14"/>
    <col collapsed="false" customWidth="true" hidden="false" outlineLevel="0" max="12" min="12" style="0" width="12.86"/>
    <col collapsed="false" customWidth="true" hidden="false" outlineLevel="0" max="13" min="13" style="0" width="10.71"/>
    <col collapsed="false" customWidth="true" hidden="false" outlineLevel="0" max="14" min="14" style="0" width="11.29"/>
    <col collapsed="false" customWidth="true" hidden="false" outlineLevel="0" max="20" min="15" style="0" width="3.14"/>
    <col collapsed="false" customWidth="true" hidden="false" outlineLevel="0" max="29" min="21" style="0" width="4.57"/>
    <col collapsed="false" customWidth="true" hidden="false" outlineLevel="0" max="30" min="30" style="0" width="15"/>
    <col collapsed="false" customWidth="true" hidden="false" outlineLevel="0" max="31" min="31" style="0" width="107.01"/>
    <col collapsed="false" customWidth="true" hidden="false" outlineLevel="0" max="32" min="32" style="0" width="11.99"/>
    <col collapsed="false" customWidth="true" hidden="false" outlineLevel="0" max="33" min="33" style="0" width="11.29"/>
    <col collapsed="false" customWidth="true" hidden="false" outlineLevel="0" max="1025" min="34" style="0" width="8.54"/>
  </cols>
  <sheetData>
    <row r="1" customFormat="false" ht="15" hidden="false" customHeight="false" outlineLevel="0" collapsed="false">
      <c r="A1" s="19" t="s">
        <v>59</v>
      </c>
    </row>
    <row r="2" customFormat="false" ht="15" hidden="false" customHeight="false" outlineLevel="0" collapsed="false">
      <c r="D2" s="56" t="s">
        <v>60</v>
      </c>
    </row>
    <row r="4" customFormat="false" ht="15" hidden="false" customHeight="false" outlineLevel="0" collapsed="false">
      <c r="A4" s="20" t="s">
        <v>61</v>
      </c>
      <c r="B4" s="21" t="s">
        <v>35</v>
      </c>
    </row>
    <row r="6" customFormat="false" ht="15" hidden="false" customHeight="false" outlineLevel="0" collapsed="false">
      <c r="A6" s="57" t="s">
        <v>62</v>
      </c>
      <c r="B6" s="24" t="s">
        <v>63</v>
      </c>
      <c r="C6" s="24" t="s">
        <v>64</v>
      </c>
      <c r="D6" s="58"/>
      <c r="E6" s="58"/>
      <c r="F6" s="58"/>
      <c r="G6" s="59"/>
    </row>
    <row r="7" customFormat="false" ht="15" hidden="false" customHeight="false" outlineLevel="0" collapsed="false">
      <c r="A7" s="60"/>
      <c r="B7" s="61" t="s">
        <v>65</v>
      </c>
      <c r="C7" s="62" t="s">
        <v>66</v>
      </c>
      <c r="D7" s="63" t="s">
        <v>67</v>
      </c>
      <c r="E7" s="64"/>
      <c r="F7" s="62" t="s">
        <v>68</v>
      </c>
      <c r="G7" s="65" t="s">
        <v>48</v>
      </c>
    </row>
    <row r="8" customFormat="false" ht="15" hidden="false" customHeight="false" outlineLevel="0" collapsed="false">
      <c r="A8" s="27" t="s">
        <v>69</v>
      </c>
      <c r="B8" s="29" t="s">
        <v>70</v>
      </c>
      <c r="C8" s="66"/>
      <c r="D8" s="63" t="s">
        <v>71</v>
      </c>
      <c r="E8" s="64" t="s">
        <v>72</v>
      </c>
      <c r="F8" s="66"/>
      <c r="G8" s="67"/>
    </row>
    <row r="9" customFormat="false" ht="15" hidden="false" customHeight="false" outlineLevel="0" collapsed="false">
      <c r="A9" s="32" t="s">
        <v>73</v>
      </c>
      <c r="B9" s="68" t="n">
        <v>1</v>
      </c>
      <c r="C9" s="69" t="n">
        <v>1</v>
      </c>
      <c r="D9" s="34"/>
      <c r="E9" s="36"/>
      <c r="F9" s="69"/>
      <c r="G9" s="37" t="n">
        <v>1</v>
      </c>
    </row>
    <row r="10" customFormat="false" ht="15" hidden="false" customHeight="false" outlineLevel="0" collapsed="false">
      <c r="A10" s="38" t="s">
        <v>74</v>
      </c>
      <c r="B10" s="70" t="n">
        <v>1</v>
      </c>
      <c r="C10" s="69" t="n">
        <v>1</v>
      </c>
      <c r="D10" s="40"/>
      <c r="E10" s="42"/>
      <c r="F10" s="69"/>
      <c r="G10" s="43" t="n">
        <v>1</v>
      </c>
    </row>
    <row r="11" customFormat="false" ht="15" hidden="false" customHeight="false" outlineLevel="0" collapsed="false">
      <c r="A11" s="38" t="s">
        <v>75</v>
      </c>
      <c r="B11" s="70" t="n">
        <v>1</v>
      </c>
      <c r="C11" s="69" t="n">
        <v>1</v>
      </c>
      <c r="D11" s="40"/>
      <c r="E11" s="42"/>
      <c r="F11" s="69"/>
      <c r="G11" s="43" t="n">
        <v>1</v>
      </c>
    </row>
    <row r="12" customFormat="false" ht="15" hidden="false" customHeight="false" outlineLevel="0" collapsed="false">
      <c r="A12" s="38" t="s">
        <v>76</v>
      </c>
      <c r="B12" s="71"/>
      <c r="C12" s="69"/>
      <c r="D12" s="46" t="n">
        <v>1</v>
      </c>
      <c r="E12" s="48" t="n">
        <v>1</v>
      </c>
      <c r="F12" s="69" t="n">
        <v>2</v>
      </c>
      <c r="G12" s="49" t="n">
        <v>2</v>
      </c>
    </row>
    <row r="13" customFormat="false" ht="15" hidden="false" customHeight="false" outlineLevel="0" collapsed="false">
      <c r="A13" s="72" t="s">
        <v>48</v>
      </c>
      <c r="B13" s="73" t="n">
        <v>3</v>
      </c>
      <c r="C13" s="73" t="n">
        <v>3</v>
      </c>
      <c r="D13" s="52" t="n">
        <v>1</v>
      </c>
      <c r="E13" s="54" t="n">
        <v>1</v>
      </c>
      <c r="F13" s="73" t="n">
        <v>2</v>
      </c>
      <c r="G13" s="55" t="n">
        <v>5</v>
      </c>
    </row>
    <row r="15" customFormat="false" ht="15" hidden="false" customHeight="false" outlineLevel="0" collapsed="false">
      <c r="L15" s="74"/>
    </row>
    <row r="16" customFormat="false" ht="15" hidden="false" customHeight="false" outlineLevel="0" collapsed="false">
      <c r="L16" s="74"/>
    </row>
    <row r="17" customFormat="false" ht="15" hidden="false" customHeight="false" outlineLevel="0" collapsed="false">
      <c r="L17" s="74"/>
    </row>
    <row r="18" customFormat="false" ht="15" hidden="false" customHeight="false" outlineLevel="0" collapsed="false">
      <c r="L18" s="74"/>
    </row>
    <row r="19" customFormat="false" ht="15" hidden="false" customHeight="false" outlineLevel="0" collapsed="false">
      <c r="L19" s="74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U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Q15" activeCellId="0" sqref="Q15"/>
    </sheetView>
  </sheetViews>
  <sheetFormatPr defaultRowHeight="15" zeroHeight="false" outlineLevelRow="0" outlineLevelCol="0"/>
  <cols>
    <col collapsed="false" customWidth="true" hidden="false" outlineLevel="0" max="1" min="1" style="13" width="7.29"/>
    <col collapsed="false" customWidth="true" hidden="false" outlineLevel="0" max="2" min="2" style="13" width="29.71"/>
    <col collapsed="false" customWidth="true" hidden="false" outlineLevel="0" max="3" min="3" style="13" width="9.71"/>
    <col collapsed="false" customWidth="true" hidden="false" outlineLevel="0" max="5" min="4" style="13" width="9.14"/>
    <col collapsed="false" customWidth="true" hidden="false" outlineLevel="0" max="6" min="6" style="0" width="18.29"/>
    <col collapsed="false" customWidth="true" hidden="false" outlineLevel="0" max="14" min="7" style="0" width="8.54"/>
    <col collapsed="false" customWidth="true" hidden="false" outlineLevel="0" max="15" min="15" style="0" width="10.29"/>
    <col collapsed="false" customWidth="true" hidden="false" outlineLevel="0" max="16" min="16" style="13" width="9.14"/>
    <col collapsed="false" customWidth="true" hidden="false" outlineLevel="0" max="17" min="17" style="0" width="15"/>
    <col collapsed="false" customWidth="true" hidden="false" outlineLevel="0" max="21" min="18" style="0" width="8.54"/>
    <col collapsed="false" customWidth="true" hidden="false" outlineLevel="0" max="1025" min="22" style="13" width="9.14"/>
  </cols>
  <sheetData>
    <row r="1" s="13" customFormat="true" ht="19.5" hidden="false" customHeight="true" outlineLevel="0" collapsed="false">
      <c r="A1" s="75" t="s">
        <v>77</v>
      </c>
      <c r="B1" s="76" t="s">
        <v>78</v>
      </c>
      <c r="C1" s="76" t="s">
        <v>79</v>
      </c>
      <c r="D1" s="77"/>
      <c r="F1" s="18"/>
      <c r="G1" s="78"/>
      <c r="H1" s="18"/>
      <c r="I1" s="18"/>
      <c r="J1" s="18"/>
      <c r="K1" s="18"/>
      <c r="L1" s="18"/>
      <c r="M1" s="18"/>
      <c r="N1" s="18"/>
      <c r="O1" s="18"/>
    </row>
    <row r="2" customFormat="false" ht="15" hidden="false" customHeight="false" outlineLevel="0" collapsed="false">
      <c r="A2" s="79" t="n">
        <v>1</v>
      </c>
      <c r="B2" s="79" t="s">
        <v>80</v>
      </c>
      <c r="C2" s="80" t="n">
        <f aca="false">COUNTA('TCER Data'!C:C)-1</f>
        <v>12</v>
      </c>
      <c r="D2" s="81"/>
      <c r="F2" s="82" t="s">
        <v>39</v>
      </c>
      <c r="G2" s="82" t="s">
        <v>81</v>
      </c>
      <c r="H2" s="82" t="s">
        <v>82</v>
      </c>
      <c r="I2" s="82" t="s">
        <v>83</v>
      </c>
      <c r="J2" s="82" t="s">
        <v>84</v>
      </c>
      <c r="K2" s="82" t="s">
        <v>85</v>
      </c>
      <c r="L2" s="82" t="s">
        <v>86</v>
      </c>
      <c r="M2" s="82" t="s">
        <v>87</v>
      </c>
      <c r="N2" s="82" t="s">
        <v>88</v>
      </c>
      <c r="O2" s="82" t="s">
        <v>89</v>
      </c>
      <c r="Q2" s="82" t="s">
        <v>90</v>
      </c>
      <c r="R2" s="82" t="s">
        <v>91</v>
      </c>
      <c r="S2" s="82" t="s">
        <v>92</v>
      </c>
      <c r="T2" s="82" t="s">
        <v>93</v>
      </c>
      <c r="U2" s="82" t="s">
        <v>94</v>
      </c>
    </row>
    <row r="3" customFormat="false" ht="15" hidden="false" customHeight="false" outlineLevel="0" collapsed="false">
      <c r="A3" s="79" t="n">
        <v>2</v>
      </c>
      <c r="B3" s="79" t="s">
        <v>95</v>
      </c>
      <c r="C3" s="80" t="n">
        <f aca="false">C2-COUNTIF('TCER Data'!C:C,"N/A")-COUNTIF('TCER Data'!C:C,"Functionality not delivered")</f>
        <v>10</v>
      </c>
      <c r="D3" s="81"/>
      <c r="F3" s="21" t="s">
        <v>50</v>
      </c>
      <c r="G3" s="83" t="n">
        <v>0.5</v>
      </c>
      <c r="H3" s="21" t="n">
        <v>2</v>
      </c>
      <c r="I3" s="21" t="n">
        <v>1</v>
      </c>
      <c r="J3" s="21" t="n">
        <v>1</v>
      </c>
      <c r="K3" s="21" t="n">
        <v>0</v>
      </c>
      <c r="L3" s="21" t="n">
        <v>0</v>
      </c>
      <c r="M3" s="21" t="n">
        <v>1</v>
      </c>
      <c r="N3" s="21" t="n">
        <v>0</v>
      </c>
      <c r="O3" s="21" t="n">
        <v>0</v>
      </c>
      <c r="Q3" s="21" t="s">
        <v>96</v>
      </c>
      <c r="R3" s="21" t="n">
        <v>1</v>
      </c>
      <c r="S3" s="21" t="n">
        <v>0</v>
      </c>
      <c r="T3" s="21" t="n">
        <v>1</v>
      </c>
      <c r="U3" s="21" t="n">
        <v>0</v>
      </c>
    </row>
    <row r="4" customFormat="false" ht="15" hidden="false" customHeight="false" outlineLevel="0" collapsed="false">
      <c r="A4" s="77"/>
      <c r="B4" s="77"/>
      <c r="C4" s="77"/>
      <c r="D4" s="77"/>
      <c r="F4" s="21" t="s">
        <v>51</v>
      </c>
      <c r="G4" s="83" t="n">
        <v>0.5</v>
      </c>
      <c r="H4" s="21" t="n">
        <v>2</v>
      </c>
      <c r="I4" s="21" t="n">
        <v>1</v>
      </c>
      <c r="J4" s="21" t="n">
        <v>0</v>
      </c>
      <c r="K4" s="21" t="n">
        <v>1</v>
      </c>
      <c r="L4" s="21" t="n">
        <v>0</v>
      </c>
      <c r="M4" s="21" t="n">
        <v>1</v>
      </c>
      <c r="N4" s="21" t="n">
        <v>0</v>
      </c>
      <c r="O4" s="21" t="n">
        <v>0</v>
      </c>
      <c r="Q4" s="21" t="s">
        <v>97</v>
      </c>
      <c r="R4" s="21" t="n">
        <v>0</v>
      </c>
      <c r="S4" s="21" t="n">
        <v>1</v>
      </c>
      <c r="T4" s="21" t="n">
        <v>1</v>
      </c>
      <c r="U4" s="21" t="n">
        <v>0</v>
      </c>
    </row>
    <row r="5" customFormat="false" ht="15" hidden="false" customHeight="false" outlineLevel="0" collapsed="false">
      <c r="A5" s="79" t="n">
        <v>3</v>
      </c>
      <c r="B5" s="79" t="s">
        <v>98</v>
      </c>
      <c r="C5" s="80" t="n">
        <f aca="false">COUNTIF('TCER Data'!C:C,"Passed")</f>
        <v>2</v>
      </c>
      <c r="D5" s="84" t="n">
        <f aca="false">C5/C3</f>
        <v>0.2</v>
      </c>
      <c r="F5" s="21" t="s">
        <v>53</v>
      </c>
      <c r="G5" s="83" t="n">
        <v>0</v>
      </c>
      <c r="H5" s="21" t="n">
        <v>3</v>
      </c>
      <c r="I5" s="21" t="n">
        <v>0</v>
      </c>
      <c r="J5" s="21" t="n">
        <v>0</v>
      </c>
      <c r="K5" s="21" t="n">
        <v>0</v>
      </c>
      <c r="L5" s="21" t="n">
        <v>1</v>
      </c>
      <c r="M5" s="21" t="n">
        <v>0</v>
      </c>
      <c r="N5" s="21" t="n">
        <v>1</v>
      </c>
      <c r="O5" s="21" t="n">
        <v>1</v>
      </c>
      <c r="Q5" s="21" t="s">
        <v>99</v>
      </c>
      <c r="R5" s="21" t="n">
        <v>0</v>
      </c>
      <c r="S5" s="21" t="n">
        <v>0</v>
      </c>
      <c r="T5" s="21" t="n">
        <v>0</v>
      </c>
      <c r="U5" s="21" t="n">
        <v>0</v>
      </c>
    </row>
    <row r="6" customFormat="false" ht="15" hidden="false" customHeight="false" outlineLevel="0" collapsed="false">
      <c r="A6" s="79" t="n">
        <v>4</v>
      </c>
      <c r="B6" s="79" t="s">
        <v>100</v>
      </c>
      <c r="C6" s="80" t="n">
        <f aca="false">COUNTIF('TCER Data'!C:C,"Failed")</f>
        <v>2</v>
      </c>
      <c r="D6" s="84" t="n">
        <f aca="false">C6/C3</f>
        <v>0.2</v>
      </c>
      <c r="F6" s="21" t="s">
        <v>55</v>
      </c>
      <c r="G6" s="83" t="n">
        <v>0</v>
      </c>
      <c r="H6" s="21" t="n">
        <v>2</v>
      </c>
      <c r="I6" s="21" t="n">
        <v>0</v>
      </c>
      <c r="J6" s="21" t="n">
        <v>0</v>
      </c>
      <c r="K6" s="21" t="n">
        <v>0</v>
      </c>
      <c r="L6" s="21" t="n">
        <v>0</v>
      </c>
      <c r="M6" s="21" t="n">
        <v>1</v>
      </c>
      <c r="N6" s="21" t="n">
        <v>0</v>
      </c>
      <c r="O6" s="21" t="n">
        <v>1</v>
      </c>
      <c r="Q6" s="82" t="s">
        <v>101</v>
      </c>
      <c r="R6" s="85" t="n">
        <v>1</v>
      </c>
      <c r="S6" s="85" t="n">
        <v>1</v>
      </c>
      <c r="T6" s="85" t="n">
        <v>2</v>
      </c>
      <c r="U6" s="85" t="n">
        <v>0</v>
      </c>
    </row>
    <row r="7" customFormat="false" ht="15" hidden="false" customHeight="false" outlineLevel="0" collapsed="false">
      <c r="A7" s="79" t="n">
        <v>5</v>
      </c>
      <c r="B7" s="79" t="s">
        <v>102</v>
      </c>
      <c r="C7" s="80" t="n">
        <f aca="false">COUNTIF('TCER Data'!C:C,"Blocked")</f>
        <v>2</v>
      </c>
      <c r="D7" s="84" t="n">
        <f aca="false">C7/C3</f>
        <v>0.2</v>
      </c>
      <c r="F7" s="21" t="s">
        <v>57</v>
      </c>
      <c r="G7" s="83" t="n">
        <v>1</v>
      </c>
      <c r="H7" s="21" t="n">
        <v>2</v>
      </c>
      <c r="I7" s="21" t="n">
        <v>2</v>
      </c>
      <c r="J7" s="21" t="n">
        <v>1</v>
      </c>
      <c r="K7" s="21" t="n">
        <v>1</v>
      </c>
      <c r="L7" s="21" t="n">
        <v>0</v>
      </c>
      <c r="M7" s="21" t="n">
        <v>0</v>
      </c>
      <c r="N7" s="21" t="n">
        <v>0</v>
      </c>
      <c r="O7" s="21" t="n">
        <v>0</v>
      </c>
    </row>
    <row r="8" customFormat="false" ht="15" hidden="false" customHeight="false" outlineLevel="0" collapsed="false">
      <c r="A8" s="79" t="n">
        <v>6</v>
      </c>
      <c r="B8" s="79" t="s">
        <v>103</v>
      </c>
      <c r="C8" s="80" t="n">
        <f aca="false">COUNTIF('TCER Data'!C:C,"Not Completed")</f>
        <v>2</v>
      </c>
      <c r="D8" s="84" t="n">
        <f aca="false">C8/C3</f>
        <v>0.2</v>
      </c>
      <c r="F8" s="21" t="s">
        <v>58</v>
      </c>
      <c r="G8" s="83" t="n">
        <v>0</v>
      </c>
      <c r="H8" s="21" t="n">
        <v>1</v>
      </c>
      <c r="I8" s="21" t="n">
        <v>0</v>
      </c>
      <c r="J8" s="21" t="n">
        <v>0</v>
      </c>
      <c r="K8" s="21" t="n">
        <v>0</v>
      </c>
      <c r="L8" s="21" t="n">
        <v>1</v>
      </c>
      <c r="M8" s="21" t="n">
        <v>0</v>
      </c>
      <c r="N8" s="21" t="n">
        <v>0</v>
      </c>
      <c r="O8" s="21" t="n">
        <v>0</v>
      </c>
    </row>
    <row r="9" customFormat="false" ht="15" hidden="false" customHeight="false" outlineLevel="0" collapsed="false">
      <c r="A9" s="79" t="n">
        <v>7</v>
      </c>
      <c r="B9" s="79" t="s">
        <v>104</v>
      </c>
      <c r="C9" s="80" t="n">
        <f aca="false">COUNTIF('TCER Data'!C:C,"No Run")</f>
        <v>1</v>
      </c>
      <c r="D9" s="84" t="n">
        <f aca="false">C9/C3</f>
        <v>0.1</v>
      </c>
      <c r="F9" s="82" t="s">
        <v>101</v>
      </c>
      <c r="G9" s="86" t="n">
        <v>0.33</v>
      </c>
      <c r="H9" s="85" t="n">
        <v>12</v>
      </c>
      <c r="I9" s="85" t="n">
        <v>4</v>
      </c>
      <c r="J9" s="87" t="n">
        <v>2</v>
      </c>
      <c r="K9" s="88" t="n">
        <v>2</v>
      </c>
      <c r="L9" s="89" t="n">
        <v>2</v>
      </c>
      <c r="M9" s="85" t="n">
        <v>3</v>
      </c>
      <c r="N9" s="85" t="n">
        <v>1</v>
      </c>
      <c r="O9" s="85" t="n">
        <v>2</v>
      </c>
    </row>
    <row r="10" customFormat="false" ht="15" hidden="false" customHeight="false" outlineLevel="0" collapsed="false">
      <c r="A10" s="79" t="n">
        <v>8</v>
      </c>
      <c r="B10" s="79" t="s">
        <v>105</v>
      </c>
      <c r="C10" s="80" t="n">
        <f aca="false">COUNTIF('TCER Data'!C:C,"N/A")</f>
        <v>1</v>
      </c>
      <c r="D10" s="84" t="n">
        <f aca="false">C10/C3</f>
        <v>0.1</v>
      </c>
    </row>
    <row r="11" customFormat="false" ht="15" hidden="false" customHeight="false" outlineLevel="0" collapsed="false">
      <c r="A11" s="79" t="n">
        <v>9</v>
      </c>
      <c r="B11" s="79" t="s">
        <v>106</v>
      </c>
      <c r="C11" s="80" t="n">
        <f aca="false">COUNTIF('TCER Data'!C:C,"Retest")</f>
        <v>1</v>
      </c>
      <c r="D11" s="84" t="n">
        <f aca="false">C11/C3</f>
        <v>0.1</v>
      </c>
    </row>
    <row r="12" customFormat="false" ht="15" hidden="false" customHeight="false" outlineLevel="0" collapsed="false">
      <c r="A12" s="79" t="n">
        <v>10</v>
      </c>
      <c r="B12" s="79" t="s">
        <v>107</v>
      </c>
      <c r="C12" s="80" t="n">
        <f aca="false">COUNTIF('TCER Data'!C:C,"Functionality not delivered")</f>
        <v>1</v>
      </c>
      <c r="D12" s="84" t="n">
        <f aca="false">C12/C3</f>
        <v>0.1</v>
      </c>
    </row>
    <row r="13" customFormat="false" ht="15" hidden="false" customHeight="false" outlineLevel="0" collapsed="false">
      <c r="A13" s="77"/>
      <c r="B13" s="77"/>
      <c r="C13" s="77"/>
      <c r="D13" s="77"/>
    </row>
    <row r="14" customFormat="false" ht="15" hidden="false" customHeight="false" outlineLevel="0" collapsed="false">
      <c r="A14" s="79" t="n">
        <v>11</v>
      </c>
      <c r="B14" s="79" t="s">
        <v>108</v>
      </c>
      <c r="C14" s="80" t="n">
        <f aca="false">C5+C6</f>
        <v>4</v>
      </c>
      <c r="D14" s="84" t="n">
        <f aca="false">C14/C3</f>
        <v>0.4</v>
      </c>
    </row>
    <row r="15" customFormat="false" ht="15" hidden="false" customHeight="false" outlineLevel="0" collapsed="false">
      <c r="A15" s="79" t="n">
        <v>12</v>
      </c>
      <c r="B15" s="79" t="s">
        <v>109</v>
      </c>
      <c r="C15" s="80" t="n">
        <f aca="false">C3-C14</f>
        <v>6</v>
      </c>
      <c r="D15" s="84" t="n">
        <f aca="false">C15/C3</f>
        <v>0.6</v>
      </c>
    </row>
    <row r="17" customFormat="false" ht="15" hidden="false" customHeight="false" outlineLevel="0" collapsed="false">
      <c r="A17" s="79" t="n">
        <v>13</v>
      </c>
      <c r="B17" s="79" t="s">
        <v>110</v>
      </c>
      <c r="C17" s="80" t="n">
        <f aca="false">COUNTA('Defects List'!B:B)-1</f>
        <v>5</v>
      </c>
      <c r="D17" s="77"/>
    </row>
    <row r="18" customFormat="false" ht="15" hidden="false" customHeight="false" outlineLevel="0" collapsed="false">
      <c r="A18" s="79" t="n">
        <v>14</v>
      </c>
      <c r="B18" s="79" t="s">
        <v>111</v>
      </c>
      <c r="C18" s="80" t="n">
        <f aca="false">C17-COUNTIF('Defects List'!N:N,"Withdrawn")-COUNTIF('Defects List'!N:N,"Rejected")</f>
        <v>5</v>
      </c>
      <c r="D18" s="84" t="n">
        <f aca="false">C18/C17</f>
        <v>1</v>
      </c>
    </row>
    <row r="19" customFormat="false" ht="15" hidden="false" customHeight="false" outlineLevel="0" collapsed="false">
      <c r="A19" s="79" t="n">
        <v>15</v>
      </c>
      <c r="B19" s="79" t="s">
        <v>112</v>
      </c>
      <c r="C19" s="80" t="n">
        <f aca="false">COUNTIF('Defects List'!G:G,"Open")</f>
        <v>2</v>
      </c>
      <c r="D19" s="84" t="n">
        <f aca="false">C19/C17</f>
        <v>0.4</v>
      </c>
    </row>
    <row r="20" customFormat="false" ht="15" hidden="false" customHeight="false" outlineLevel="0" collapsed="false">
      <c r="A20" s="79" t="n">
        <v>16</v>
      </c>
      <c r="B20" s="79" t="s">
        <v>113</v>
      </c>
      <c r="C20" s="80" t="n">
        <f aca="false">COUNTIF('Defects List'!G:G,"Closed")</f>
        <v>3</v>
      </c>
      <c r="D20" s="84" t="n">
        <f aca="false">C20/C17</f>
        <v>0.6</v>
      </c>
    </row>
    <row r="21" customFormat="false" ht="15" hidden="false" customHeight="false" outlineLevel="0" collapsed="false">
      <c r="A21" s="79" t="n">
        <v>17</v>
      </c>
      <c r="B21" s="79" t="s">
        <v>114</v>
      </c>
      <c r="C21" s="80" t="n">
        <f aca="false">COUNTIF('Defects List'!E:E,"1 - Critical")+COUNTIF('Defects List'!E:E,"2 - High")</f>
        <v>2</v>
      </c>
      <c r="D21" s="84" t="n">
        <f aca="false">C21/C17</f>
        <v>0.4</v>
      </c>
    </row>
    <row r="22" customFormat="false" ht="15" hidden="false" customHeight="false" outlineLevel="0" collapsed="false">
      <c r="A22" s="79" t="n">
        <v>18</v>
      </c>
      <c r="B22" s="79" t="s">
        <v>115</v>
      </c>
      <c r="C22" s="80" t="n">
        <f aca="false">COUNTIF('Defects List'!E:E,"3 - Medium")+COUNTIF('Defects List'!E:E,"4 - Low")</f>
        <v>2</v>
      </c>
      <c r="D22" s="84" t="n">
        <f aca="false">C22/C17</f>
        <v>0.4</v>
      </c>
    </row>
    <row r="23" customFormat="false" ht="15" hidden="false" customHeight="false" outlineLevel="0" collapsed="false">
      <c r="A23" s="79" t="n">
        <v>19</v>
      </c>
      <c r="B23" s="79" t="s">
        <v>116</v>
      </c>
      <c r="C23" s="90" t="n">
        <f aca="false">C17-C18</f>
        <v>0</v>
      </c>
      <c r="D23" s="91" t="n">
        <f aca="false">C23/C17</f>
        <v>0</v>
      </c>
    </row>
    <row r="24" customFormat="false" ht="15" hidden="false" customHeight="false" outlineLevel="0" collapsed="false">
      <c r="A24" s="79" t="n">
        <v>20</v>
      </c>
      <c r="B24" s="92" t="s">
        <v>117</v>
      </c>
      <c r="C24" s="93" t="n">
        <f aca="false">AVERAGE('Defects List'!Q:Q)</f>
        <v>10.6</v>
      </c>
      <c r="D24" s="94" t="s">
        <v>118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G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2" activeCellId="0" sqref="E12"/>
    </sheetView>
  </sheetViews>
  <sheetFormatPr defaultRowHeight="15" zeroHeight="false" outlineLevelRow="0" outlineLevelCol="0"/>
  <cols>
    <col collapsed="false" customWidth="true" hidden="false" outlineLevel="0" max="1" min="1" style="13" width="23.57"/>
    <col collapsed="false" customWidth="true" hidden="false" outlineLevel="0" max="2" min="2" style="13" width="10.99"/>
    <col collapsed="false" customWidth="true" hidden="false" outlineLevel="0" max="3" min="3" style="13" width="10.42"/>
    <col collapsed="false" customWidth="true" hidden="false" outlineLevel="0" max="4" min="4" style="13" width="10.99"/>
    <col collapsed="false" customWidth="true" hidden="false" outlineLevel="0" max="5" min="5" style="13" width="10.42"/>
    <col collapsed="false" customWidth="true" hidden="false" outlineLevel="0" max="6" min="6" style="13" width="10.71"/>
    <col collapsed="false" customWidth="true" hidden="false" outlineLevel="0" max="7" min="7" style="13" width="10.42"/>
    <col collapsed="false" customWidth="true" hidden="false" outlineLevel="0" max="8" min="8" style="95" width="10.71"/>
    <col collapsed="false" customWidth="true" hidden="false" outlineLevel="0" max="9" min="9" style="13" width="10.42"/>
    <col collapsed="false" customWidth="true" hidden="false" outlineLevel="0" max="10" min="10" style="13" width="10.85"/>
    <col collapsed="false" customWidth="true" hidden="false" outlineLevel="0" max="11" min="11" style="13" width="10.42"/>
    <col collapsed="false" customWidth="true" hidden="false" outlineLevel="0" max="13" min="12" style="13" width="10.29"/>
    <col collapsed="false" customWidth="true" hidden="false" outlineLevel="0" max="14" min="14" style="13" width="10.42"/>
    <col collapsed="false" customWidth="true" hidden="false" outlineLevel="0" max="15" min="15" style="13" width="10.29"/>
    <col collapsed="false" customWidth="true" hidden="false" outlineLevel="0" max="16" min="16" style="13" width="10.14"/>
    <col collapsed="false" customWidth="true" hidden="false" outlineLevel="0" max="17" min="17" style="13" width="9.85"/>
    <col collapsed="false" customWidth="true" hidden="false" outlineLevel="0" max="27" min="18" style="13" width="9.71"/>
    <col collapsed="false" customWidth="true" hidden="false" outlineLevel="0" max="28" min="28" style="13" width="11.29"/>
    <col collapsed="false" customWidth="true" hidden="false" outlineLevel="0" max="46" min="29" style="13" width="9.71"/>
    <col collapsed="false" customWidth="true" hidden="false" outlineLevel="0" max="47" min="47" style="13" width="11.29"/>
    <col collapsed="false" customWidth="true" hidden="false" outlineLevel="0" max="62" min="48" style="13" width="9.71"/>
    <col collapsed="false" customWidth="true" hidden="false" outlineLevel="0" max="68" min="63" style="13" width="9.14"/>
    <col collapsed="false" customWidth="true" hidden="false" outlineLevel="0" max="89" min="69" style="13" width="9.71"/>
    <col collapsed="false" customWidth="true" hidden="false" outlineLevel="0" max="93" min="90" style="13" width="9.85"/>
    <col collapsed="false" customWidth="true" hidden="false" outlineLevel="0" max="98" min="94" style="13" width="9.14"/>
    <col collapsed="false" customWidth="true" hidden="false" outlineLevel="0" max="120" min="99" style="13" width="9.42"/>
    <col collapsed="false" customWidth="true" hidden="false" outlineLevel="0" max="129" min="121" style="13" width="9.14"/>
    <col collapsed="false" customWidth="true" hidden="false" outlineLevel="0" max="150" min="130" style="13" width="10"/>
    <col collapsed="false" customWidth="true" hidden="false" outlineLevel="0" max="159" min="151" style="13" width="9.14"/>
    <col collapsed="false" customWidth="true" hidden="false" outlineLevel="0" max="181" min="160" style="13" width="9.71"/>
    <col collapsed="false" customWidth="true" hidden="false" outlineLevel="0" max="221" min="182" style="13" width="9.14"/>
    <col collapsed="false" customWidth="true" hidden="false" outlineLevel="0" max="240" min="222" style="13" width="9.71"/>
    <col collapsed="false" customWidth="true" hidden="false" outlineLevel="0" max="249" min="241" style="13" width="9.14"/>
    <col collapsed="false" customWidth="true" hidden="false" outlineLevel="0" max="271" min="250" style="13" width="9.85"/>
    <col collapsed="false" customWidth="true" hidden="false" outlineLevel="0" max="280" min="272" style="13" width="9.14"/>
    <col collapsed="false" customWidth="true" hidden="false" outlineLevel="0" max="301" min="281" style="13" width="9.58"/>
    <col collapsed="false" customWidth="true" hidden="false" outlineLevel="0" max="310" min="302" style="13" width="9.14"/>
    <col collapsed="false" customWidth="true" hidden="false" outlineLevel="0" max="332" min="311" style="13" width="10.14"/>
    <col collapsed="false" customWidth="true" hidden="false" outlineLevel="0" max="341" min="333" style="13" width="9.14"/>
    <col collapsed="false" customWidth="true" hidden="false" outlineLevel="0" max="362" min="342" style="13" width="9.42"/>
    <col collapsed="false" customWidth="true" hidden="false" outlineLevel="0" max="402" min="363" style="13" width="9.14"/>
    <col collapsed="false" customWidth="true" hidden="false" outlineLevel="0" max="424" min="403" style="13" width="9.85"/>
    <col collapsed="false" customWidth="true" hidden="false" outlineLevel="0" max="433" min="425" style="13" width="9.14"/>
    <col collapsed="false" customWidth="true" hidden="false" outlineLevel="0" max="454" min="434" style="13" width="9.71"/>
    <col collapsed="false" customWidth="true" hidden="false" outlineLevel="0" max="463" min="455" style="13" width="9.14"/>
    <col collapsed="false" customWidth="true" hidden="false" outlineLevel="0" max="485" min="464" style="13" width="9.42"/>
    <col collapsed="false" customWidth="true" hidden="false" outlineLevel="0" max="494" min="486" style="13" width="9.14"/>
    <col collapsed="false" customWidth="true" hidden="false" outlineLevel="0" max="515" min="495" style="13" width="10"/>
    <col collapsed="false" customWidth="true" hidden="false" outlineLevel="0" max="524" min="516" style="13" width="9.14"/>
    <col collapsed="false" customWidth="true" hidden="false" outlineLevel="0" max="546" min="525" style="13" width="9.71"/>
    <col collapsed="false" customWidth="true" hidden="false" outlineLevel="0" max="586" min="547" style="13" width="9.14"/>
    <col collapsed="false" customWidth="true" hidden="false" outlineLevel="0" max="605" min="587" style="13" width="9.71"/>
    <col collapsed="false" customWidth="true" hidden="false" outlineLevel="0" max="614" min="606" style="13" width="9.14"/>
    <col collapsed="false" customWidth="true" hidden="false" outlineLevel="0" max="636" min="615" style="13" width="9.85"/>
    <col collapsed="false" customWidth="true" hidden="false" outlineLevel="0" max="645" min="637" style="13" width="9.14"/>
    <col collapsed="false" customWidth="true" hidden="false" outlineLevel="0" max="666" min="646" style="13" width="9.58"/>
    <col collapsed="false" customWidth="true" hidden="false" outlineLevel="0" max="675" min="667" style="13" width="9.14"/>
    <col collapsed="false" customWidth="true" hidden="false" outlineLevel="0" max="697" min="676" style="13" width="10.14"/>
    <col collapsed="false" customWidth="true" hidden="false" outlineLevel="0" max="706" min="698" style="13" width="9.14"/>
    <col collapsed="false" customWidth="true" hidden="false" outlineLevel="0" max="727" min="707" style="13" width="9.42"/>
    <col collapsed="false" customWidth="true" hidden="false" outlineLevel="0" max="767" min="728" style="13" width="9.14"/>
    <col collapsed="false" customWidth="true" hidden="false" outlineLevel="0" max="789" min="768" style="13" width="9.85"/>
    <col collapsed="false" customWidth="true" hidden="false" outlineLevel="0" max="798" min="790" style="13" width="9.14"/>
    <col collapsed="false" customWidth="true" hidden="false" outlineLevel="0" max="819" min="799" style="13" width="9.71"/>
    <col collapsed="false" customWidth="true" hidden="false" outlineLevel="0" max="828" min="820" style="13" width="9.14"/>
    <col collapsed="false" customWidth="true" hidden="false" outlineLevel="0" max="850" min="829" style="13" width="9.42"/>
    <col collapsed="false" customWidth="true" hidden="false" outlineLevel="0" max="859" min="851" style="13" width="9.14"/>
    <col collapsed="false" customWidth="true" hidden="false" outlineLevel="0" max="880" min="860" style="13" width="10"/>
    <col collapsed="false" customWidth="true" hidden="false" outlineLevel="0" max="889" min="881" style="13" width="9.14"/>
    <col collapsed="false" customWidth="true" hidden="false" outlineLevel="0" max="911" min="890" style="13" width="9.71"/>
    <col collapsed="false" customWidth="true" hidden="false" outlineLevel="0" max="951" min="912" style="13" width="9.14"/>
    <col collapsed="false" customWidth="true" hidden="false" outlineLevel="0" max="970" min="952" style="13" width="9.71"/>
    <col collapsed="false" customWidth="true" hidden="false" outlineLevel="0" max="979" min="971" style="13" width="9.14"/>
    <col collapsed="false" customWidth="true" hidden="false" outlineLevel="0" max="1001" min="980" style="13" width="9.85"/>
    <col collapsed="false" customWidth="true" hidden="false" outlineLevel="0" max="1010" min="1002" style="13" width="9.14"/>
    <col collapsed="false" customWidth="true" hidden="false" outlineLevel="0" max="1025" min="1011" style="13" width="9.58"/>
  </cols>
  <sheetData>
    <row r="1" customFormat="false" ht="15" hidden="false" customHeight="false" outlineLevel="0" collapsed="false">
      <c r="G1" s="96" t="s">
        <v>119</v>
      </c>
    </row>
    <row r="2" customFormat="false" ht="15" hidden="false" customHeight="false" outlineLevel="0" collapsed="false">
      <c r="A2" s="14" t="s">
        <v>120</v>
      </c>
      <c r="B2" s="97"/>
      <c r="C2" s="16" t="s">
        <v>121</v>
      </c>
      <c r="G2" s="98" t="s">
        <v>122</v>
      </c>
      <c r="H2" s="99"/>
      <c r="I2" s="100"/>
      <c r="J2" s="100"/>
      <c r="K2" s="100"/>
      <c r="L2" s="100"/>
      <c r="M2" s="100"/>
      <c r="N2" s="101"/>
    </row>
    <row r="3" customFormat="false" ht="15" hidden="false" customHeight="false" outlineLevel="0" collapsed="false">
      <c r="A3" s="14" t="s">
        <v>123</v>
      </c>
      <c r="B3" s="97"/>
      <c r="C3" s="16" t="s">
        <v>121</v>
      </c>
      <c r="G3" s="102" t="s">
        <v>124</v>
      </c>
      <c r="H3" s="103"/>
      <c r="I3" s="104"/>
      <c r="J3" s="104"/>
      <c r="K3" s="104"/>
      <c r="L3" s="104"/>
      <c r="M3" s="104"/>
      <c r="N3" s="105"/>
    </row>
    <row r="4" customFormat="false" ht="15" hidden="false" customHeight="false" outlineLevel="0" collapsed="false">
      <c r="A4" s="14" t="s">
        <v>125</v>
      </c>
      <c r="B4" s="17"/>
      <c r="F4" s="104"/>
      <c r="G4" s="102" t="s">
        <v>126</v>
      </c>
      <c r="H4" s="103"/>
      <c r="I4" s="104"/>
      <c r="J4" s="104"/>
      <c r="K4" s="104"/>
      <c r="L4" s="104"/>
      <c r="M4" s="104"/>
      <c r="N4" s="105"/>
    </row>
    <row r="5" customFormat="false" ht="15" hidden="false" customHeight="false" outlineLevel="0" collapsed="false">
      <c r="A5" s="14" t="s">
        <v>127</v>
      </c>
      <c r="B5" s="106" t="n">
        <f aca="false">B3-B2</f>
        <v>0</v>
      </c>
      <c r="G5" s="107" t="s">
        <v>128</v>
      </c>
      <c r="H5" s="108"/>
      <c r="I5" s="109"/>
      <c r="J5" s="109"/>
      <c r="K5" s="109"/>
      <c r="L5" s="109"/>
      <c r="M5" s="109"/>
      <c r="N5" s="110"/>
    </row>
    <row r="6" customFormat="false" ht="15" hidden="false" customHeight="false" outlineLevel="0" collapsed="false">
      <c r="A6" s="14" t="s">
        <v>129</v>
      </c>
      <c r="B6" s="106" t="n">
        <f aca="false">NETWORKDAYS(B2,B3)</f>
        <v>0</v>
      </c>
    </row>
    <row r="7" s="111" customFormat="true" ht="15.75" hidden="false" customHeight="false" outlineLevel="0" collapsed="false">
      <c r="H7" s="112"/>
    </row>
    <row r="8" customFormat="false" ht="15" hidden="false" customHeight="false" outlineLevel="0" collapsed="false">
      <c r="A8" s="104"/>
      <c r="B8" s="104"/>
    </row>
    <row r="9" customFormat="false" ht="15" hidden="false" customHeight="false" outlineLevel="0" collapsed="false">
      <c r="A9" s="104"/>
      <c r="B9" s="104"/>
    </row>
    <row r="14" s="113" customFormat="true" ht="15.75" hidden="false" customHeight="false" outlineLevel="0" collapsed="false"/>
    <row r="15" s="114" customFormat="true" ht="15" hidden="false" customHeight="false" outlineLevel="0" collapsed="false">
      <c r="A15" s="13"/>
      <c r="B15" s="13"/>
      <c r="H15" s="95"/>
    </row>
    <row r="16" s="114" customFormat="true" ht="15" hidden="false" customHeight="false" outlineLevel="0" collapsed="false">
      <c r="A16" s="13"/>
      <c r="B16" s="13"/>
      <c r="H16" s="95"/>
    </row>
    <row r="17" s="114" customFormat="true" ht="15" hidden="false" customHeight="false" outlineLevel="0" collapsed="false">
      <c r="A17" s="13"/>
      <c r="B17" s="13"/>
      <c r="H17" s="95"/>
    </row>
    <row r="18" customFormat="false" ht="12.75" hidden="false" customHeight="true" outlineLevel="0" collapsed="false"/>
    <row r="21" s="111" customFormat="true" ht="15.75" hidden="false" customHeight="false" outlineLevel="0" collapsed="false">
      <c r="H21" s="112"/>
    </row>
    <row r="23" customFormat="false" ht="15" hidden="false" customHeight="false" outlineLevel="0" collapsed="false">
      <c r="A23" s="14" t="s">
        <v>130</v>
      </c>
      <c r="B23" s="97"/>
      <c r="C23" s="16" t="s">
        <v>121</v>
      </c>
    </row>
    <row r="27" customFormat="false" ht="15" hidden="false" customHeight="false" outlineLevel="0" collapsed="false">
      <c r="A27" s="14" t="s">
        <v>125</v>
      </c>
      <c r="B27" s="106" t="n">
        <f aca="false">COUNTA('TCER Data'!C:C)-1</f>
        <v>12</v>
      </c>
    </row>
    <row r="28" customFormat="false" ht="15" hidden="false" customHeight="false" outlineLevel="0" collapsed="false">
      <c r="A28" s="14" t="s">
        <v>131</v>
      </c>
      <c r="B28" s="115" t="n">
        <f aca="false">B27-COUNTIF('TCER Data'!C:C,"N/A")-COUNTIF('TCER Data'!C:C,"Functionality not delivered")</f>
        <v>10</v>
      </c>
    </row>
    <row r="29" customFormat="false" ht="30" hidden="false" customHeight="false" outlineLevel="0" collapsed="false">
      <c r="A29" s="116" t="s">
        <v>132</v>
      </c>
      <c r="B29" s="117" t="e">
        <f aca="false">HLOOKUP(B23,11:13,3,0)</f>
        <v>#N/A</v>
      </c>
      <c r="C29" s="118" t="e">
        <f aca="false">B29/B28</f>
        <v>#N/A</v>
      </c>
    </row>
    <row r="30" customFormat="false" ht="30" hidden="false" customHeight="false" outlineLevel="0" collapsed="false">
      <c r="A30" s="116" t="s">
        <v>133</v>
      </c>
      <c r="B30" s="106" t="e">
        <f aca="false">HLOOKUP(B23,18:20,3,0)</f>
        <v>#N/A</v>
      </c>
      <c r="C30" s="118" t="e">
        <f aca="false">B30/B28</f>
        <v>#N/A</v>
      </c>
    </row>
    <row r="31" customFormat="false" ht="15" hidden="false" customHeight="false" outlineLevel="0" collapsed="false">
      <c r="B31" s="119"/>
      <c r="C31" s="119"/>
      <c r="D31" s="119"/>
      <c r="E31" s="119"/>
      <c r="F31" s="119"/>
      <c r="G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</row>
    <row r="35" customFormat="false" ht="15" hidden="false" customHeight="false" outlineLevel="0" collapsed="false">
      <c r="A35" s="120"/>
    </row>
    <row r="36" customFormat="false" ht="15" hidden="false" customHeight="false" outlineLevel="0" collapsed="false">
      <c r="A36" s="120"/>
    </row>
    <row r="37" customFormat="false" ht="15" hidden="false" customHeight="false" outlineLevel="0" collapsed="false">
      <c r="A37" s="120"/>
    </row>
    <row r="38" customFormat="false" ht="15" hidden="false" customHeight="false" outlineLevel="0" collapsed="false">
      <c r="A38" s="120"/>
    </row>
    <row r="39" customFormat="false" ht="15" hidden="false" customHeight="false" outlineLevel="0" collapsed="false">
      <c r="A39" s="12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AD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8" activeCellId="0" sqref="D8"/>
    </sheetView>
  </sheetViews>
  <sheetFormatPr defaultRowHeight="15" zeroHeight="false" outlineLevelRow="0" outlineLevelCol="0"/>
  <cols>
    <col collapsed="false" customWidth="true" hidden="false" outlineLevel="0" max="1" min="1" style="0" width="19.42"/>
    <col collapsed="false" customWidth="true" hidden="false" outlineLevel="0" max="2" min="2" style="0" width="16.29"/>
    <col collapsed="false" customWidth="true" hidden="false" outlineLevel="0" max="5" min="3" style="0" width="9.71"/>
    <col collapsed="false" customWidth="true" hidden="false" outlineLevel="0" max="6" min="6" style="0" width="11.29"/>
    <col collapsed="false" customWidth="true" hidden="false" outlineLevel="0" max="8" min="7" style="0" width="8.71"/>
    <col collapsed="false" customWidth="true" hidden="false" outlineLevel="0" max="13" min="9" style="0" width="9.71"/>
    <col collapsed="false" customWidth="true" hidden="false" outlineLevel="0" max="14" min="14" style="0" width="11.29"/>
    <col collapsed="false" customWidth="true" hidden="false" outlineLevel="0" max="22" min="15" style="0" width="8.71"/>
    <col collapsed="false" customWidth="true" hidden="false" outlineLevel="0" max="35" min="23" style="0" width="9.71"/>
    <col collapsed="false" customWidth="true" hidden="false" outlineLevel="0" max="36" min="36" style="0" width="8.71"/>
    <col collapsed="false" customWidth="true" hidden="false" outlineLevel="0" max="45" min="37" style="0" width="9.71"/>
    <col collapsed="false" customWidth="true" hidden="false" outlineLevel="0" max="46" min="46" style="0" width="8.71"/>
    <col collapsed="false" customWidth="true" hidden="false" outlineLevel="0" max="47" min="47" style="0" width="9.71"/>
    <col collapsed="false" customWidth="true" hidden="false" outlineLevel="0" max="48" min="48" style="0" width="11.29"/>
    <col collapsed="false" customWidth="true" hidden="false" outlineLevel="0" max="49" min="49" style="0" width="13.7"/>
    <col collapsed="false" customWidth="true" hidden="false" outlineLevel="0" max="50" min="50" style="0" width="11.57"/>
    <col collapsed="false" customWidth="true" hidden="false" outlineLevel="0" max="51" min="51" style="0" width="14.7"/>
    <col collapsed="false" customWidth="true" hidden="false" outlineLevel="0" max="52" min="52" style="0" width="11.57"/>
    <col collapsed="false" customWidth="true" hidden="false" outlineLevel="0" max="53" min="53" style="0" width="14.7"/>
    <col collapsed="false" customWidth="true" hidden="false" outlineLevel="0" max="54" min="54" style="0" width="11.57"/>
    <col collapsed="false" customWidth="true" hidden="false" outlineLevel="0" max="55" min="55" style="0" width="14.7"/>
    <col collapsed="false" customWidth="true" hidden="false" outlineLevel="0" max="56" min="56" style="0" width="10.58"/>
    <col collapsed="false" customWidth="true" hidden="false" outlineLevel="0" max="57" min="57" style="0" width="13.7"/>
    <col collapsed="false" customWidth="true" hidden="false" outlineLevel="0" max="58" min="58" style="0" width="9.14"/>
    <col collapsed="false" customWidth="true" hidden="false" outlineLevel="0" max="59" min="59" style="0" width="12.14"/>
    <col collapsed="false" customWidth="true" hidden="false" outlineLevel="0" max="60" min="60" style="0" width="11.29"/>
    <col collapsed="false" customWidth="true" hidden="false" outlineLevel="0" max="61" min="61" style="0" width="11.57"/>
    <col collapsed="false" customWidth="true" hidden="false" outlineLevel="0" max="62" min="62" style="0" width="14.7"/>
    <col collapsed="false" customWidth="true" hidden="false" outlineLevel="0" max="63" min="63" style="0" width="11.57"/>
    <col collapsed="false" customWidth="true" hidden="false" outlineLevel="0" max="64" min="64" style="0" width="14.7"/>
    <col collapsed="false" customWidth="true" hidden="false" outlineLevel="0" max="65" min="65" style="0" width="10.58"/>
    <col collapsed="false" customWidth="true" hidden="false" outlineLevel="0" max="66" min="66" style="0" width="7.15"/>
    <col collapsed="false" customWidth="true" hidden="false" outlineLevel="0" max="67" min="67" style="0" width="13.7"/>
    <col collapsed="false" customWidth="true" hidden="false" outlineLevel="0" max="68" min="68" style="0" width="8.54"/>
    <col collapsed="false" customWidth="true" hidden="false" outlineLevel="0" max="69" min="69" style="0" width="7.29"/>
    <col collapsed="false" customWidth="true" hidden="false" outlineLevel="0" max="70" min="70" style="0" width="12.14"/>
    <col collapsed="false" customWidth="true" hidden="false" outlineLevel="0" max="71" min="71" style="0" width="11.29"/>
    <col collapsed="false" customWidth="true" hidden="false" outlineLevel="0" max="1025" min="72" style="0" width="8.54"/>
  </cols>
  <sheetData>
    <row r="2" customFormat="false" ht="15" hidden="false" customHeight="false" outlineLevel="0" collapsed="false">
      <c r="A2" s="0" t="s">
        <v>134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</row>
    <row r="3" customFormat="false" ht="15" hidden="false" customHeight="false" outlineLevel="0" collapsed="false">
      <c r="A3" s="74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</row>
    <row r="4" customFormat="false" ht="15" hidden="false" customHeight="false" outlineLevel="0" collapsed="false">
      <c r="A4" s="57" t="s">
        <v>36</v>
      </c>
      <c r="B4" s="24" t="s">
        <v>135</v>
      </c>
      <c r="C4" s="25"/>
      <c r="D4" s="25"/>
      <c r="E4" s="25"/>
      <c r="F4" s="26"/>
    </row>
    <row r="5" customFormat="false" ht="15" hidden="false" customHeight="false" outlineLevel="0" collapsed="false">
      <c r="A5" s="27" t="s">
        <v>136</v>
      </c>
      <c r="B5" s="123" t="n">
        <v>42633</v>
      </c>
      <c r="C5" s="124" t="n">
        <v>42634</v>
      </c>
      <c r="D5" s="124" t="n">
        <v>42635</v>
      </c>
      <c r="E5" s="124" t="n">
        <v>42636</v>
      </c>
      <c r="F5" s="125" t="s">
        <v>48</v>
      </c>
    </row>
    <row r="6" customFormat="false" ht="15" hidden="false" customHeight="false" outlineLevel="0" collapsed="false">
      <c r="A6" s="32" t="s">
        <v>137</v>
      </c>
      <c r="B6" s="34" t="n">
        <v>2</v>
      </c>
      <c r="C6" s="35" t="n">
        <v>1</v>
      </c>
      <c r="D6" s="35"/>
      <c r="E6" s="36" t="n">
        <v>1</v>
      </c>
      <c r="F6" s="37" t="n">
        <v>4</v>
      </c>
    </row>
    <row r="7" customFormat="false" ht="15" hidden="false" customHeight="false" outlineLevel="0" collapsed="false">
      <c r="A7" s="38" t="s">
        <v>138</v>
      </c>
      <c r="B7" s="40" t="n">
        <v>2</v>
      </c>
      <c r="C7" s="41"/>
      <c r="D7" s="41" t="n">
        <v>1</v>
      </c>
      <c r="E7" s="42" t="n">
        <v>1</v>
      </c>
      <c r="F7" s="43" t="n">
        <v>4</v>
      </c>
    </row>
    <row r="8" customFormat="false" ht="15" hidden="false" customHeight="false" outlineLevel="0" collapsed="false">
      <c r="A8" s="38" t="s">
        <v>139</v>
      </c>
      <c r="B8" s="40"/>
      <c r="C8" s="41"/>
      <c r="D8" s="41" t="n">
        <v>3</v>
      </c>
      <c r="E8" s="42"/>
      <c r="F8" s="43" t="n">
        <v>3</v>
      </c>
    </row>
    <row r="9" customFormat="false" ht="15" hidden="false" customHeight="false" outlineLevel="0" collapsed="false">
      <c r="A9" s="38" t="s">
        <v>140</v>
      </c>
      <c r="B9" s="46"/>
      <c r="C9" s="47"/>
      <c r="D9" s="47" t="n">
        <v>1</v>
      </c>
      <c r="E9" s="48"/>
      <c r="F9" s="49" t="n">
        <v>1</v>
      </c>
    </row>
    <row r="10" customFormat="false" ht="15" hidden="false" customHeight="false" outlineLevel="0" collapsed="false">
      <c r="A10" s="72" t="s">
        <v>48</v>
      </c>
      <c r="B10" s="52" t="n">
        <v>4</v>
      </c>
      <c r="C10" s="53" t="n">
        <v>1</v>
      </c>
      <c r="D10" s="53" t="n">
        <v>5</v>
      </c>
      <c r="E10" s="54" t="n">
        <v>2</v>
      </c>
      <c r="F10" s="55" t="n">
        <v>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1" activeCellId="0" sqref="E21"/>
    </sheetView>
  </sheetViews>
  <sheetFormatPr defaultRowHeight="15" zeroHeight="false" outlineLevelRow="0" outlineLevelCol="0"/>
  <cols>
    <col collapsed="false" customWidth="true" hidden="false" outlineLevel="0" max="1" min="1" style="0" width="11.14"/>
    <col collapsed="false" customWidth="true" hidden="false" outlineLevel="0" max="2" min="2" style="0" width="15.29"/>
    <col collapsed="false" customWidth="true" hidden="false" outlineLevel="0" max="3" min="3" style="0" width="11.71"/>
    <col collapsed="false" customWidth="true" hidden="false" outlineLevel="0" max="4" min="4" style="0" width="8.54"/>
    <col collapsed="false" customWidth="true" hidden="false" outlineLevel="0" max="5" min="5" style="0" width="12.86"/>
    <col collapsed="false" customWidth="true" hidden="false" outlineLevel="0" max="6" min="6" style="0" width="16.57"/>
    <col collapsed="false" customWidth="true" hidden="false" outlineLevel="0" max="8" min="7" style="0" width="10.58"/>
    <col collapsed="false" customWidth="true" hidden="false" outlineLevel="0" max="1025" min="9" style="0" width="8.54"/>
  </cols>
  <sheetData>
    <row r="1" s="126" customFormat="true" ht="15" hidden="false" customHeight="false" outlineLevel="0" collapsed="false">
      <c r="A1" s="126" t="s">
        <v>38</v>
      </c>
      <c r="B1" s="126" t="s">
        <v>39</v>
      </c>
      <c r="C1" s="126" t="s">
        <v>37</v>
      </c>
      <c r="D1" s="126" t="s">
        <v>136</v>
      </c>
      <c r="E1" s="126" t="s">
        <v>141</v>
      </c>
      <c r="F1" s="127" t="s">
        <v>135</v>
      </c>
      <c r="G1" s="126" t="s">
        <v>34</v>
      </c>
      <c r="H1" s="126" t="s">
        <v>142</v>
      </c>
    </row>
    <row r="2" customFormat="false" ht="15" hidden="false" customHeight="false" outlineLevel="0" collapsed="false">
      <c r="A2" s="0" t="s">
        <v>49</v>
      </c>
      <c r="B2" s="0" t="s">
        <v>50</v>
      </c>
      <c r="C2" s="0" t="s">
        <v>43</v>
      </c>
      <c r="D2" s="0" t="s">
        <v>137</v>
      </c>
      <c r="F2" s="128" t="n">
        <v>42633</v>
      </c>
      <c r="G2" s="0" t="s">
        <v>143</v>
      </c>
      <c r="H2" s="0" t="s">
        <v>144</v>
      </c>
    </row>
    <row r="3" customFormat="false" ht="15" hidden="false" customHeight="false" outlineLevel="0" collapsed="false">
      <c r="A3" s="0" t="s">
        <v>49</v>
      </c>
      <c r="B3" s="0" t="s">
        <v>50</v>
      </c>
      <c r="C3" s="0" t="s">
        <v>40</v>
      </c>
      <c r="D3" s="0" t="s">
        <v>137</v>
      </c>
      <c r="F3" s="128" t="n">
        <v>42633</v>
      </c>
      <c r="G3" s="0" t="s">
        <v>143</v>
      </c>
      <c r="H3" s="0" t="s">
        <v>145</v>
      </c>
    </row>
    <row r="4" customFormat="false" ht="15" hidden="false" customHeight="false" outlineLevel="0" collapsed="false">
      <c r="A4" s="0" t="s">
        <v>49</v>
      </c>
      <c r="B4" s="0" t="s">
        <v>51</v>
      </c>
      <c r="C4" s="0" t="s">
        <v>41</v>
      </c>
      <c r="D4" s="0" t="s">
        <v>138</v>
      </c>
      <c r="F4" s="128" t="n">
        <v>42633</v>
      </c>
      <c r="G4" s="0" t="s">
        <v>143</v>
      </c>
      <c r="H4" s="0" t="s">
        <v>146</v>
      </c>
    </row>
    <row r="5" customFormat="false" ht="15" hidden="false" customHeight="false" outlineLevel="0" collapsed="false">
      <c r="A5" s="0" t="s">
        <v>49</v>
      </c>
      <c r="B5" s="0" t="s">
        <v>51</v>
      </c>
      <c r="C5" s="0" t="s">
        <v>43</v>
      </c>
      <c r="D5" s="0" t="s">
        <v>138</v>
      </c>
      <c r="F5" s="128" t="n">
        <v>42633</v>
      </c>
      <c r="G5" s="0" t="s">
        <v>147</v>
      </c>
      <c r="H5" s="0" t="s">
        <v>148</v>
      </c>
    </row>
    <row r="6" customFormat="false" ht="15" hidden="false" customHeight="false" outlineLevel="0" collapsed="false">
      <c r="A6" s="0" t="s">
        <v>52</v>
      </c>
      <c r="B6" s="0" t="s">
        <v>53</v>
      </c>
      <c r="C6" s="0" t="s">
        <v>42</v>
      </c>
      <c r="D6" s="0" t="s">
        <v>137</v>
      </c>
      <c r="F6" s="128" t="n">
        <v>42634</v>
      </c>
      <c r="G6" s="0" t="s">
        <v>147</v>
      </c>
      <c r="H6" s="0" t="s">
        <v>149</v>
      </c>
    </row>
    <row r="7" customFormat="false" ht="15" hidden="false" customHeight="false" outlineLevel="0" collapsed="false">
      <c r="A7" s="0" t="s">
        <v>52</v>
      </c>
      <c r="B7" s="0" t="s">
        <v>53</v>
      </c>
      <c r="C7" s="0" t="s">
        <v>44</v>
      </c>
      <c r="D7" s="0" t="s">
        <v>138</v>
      </c>
      <c r="F7" s="128" t="n">
        <v>42635</v>
      </c>
      <c r="G7" s="0" t="s">
        <v>147</v>
      </c>
      <c r="H7" s="0" t="s">
        <v>150</v>
      </c>
    </row>
    <row r="8" customFormat="false" ht="15" hidden="false" customHeight="false" outlineLevel="0" collapsed="false">
      <c r="A8" s="0" t="s">
        <v>52</v>
      </c>
      <c r="B8" s="0" t="s">
        <v>53</v>
      </c>
      <c r="C8" s="0" t="s">
        <v>45</v>
      </c>
      <c r="D8" s="0" t="s">
        <v>139</v>
      </c>
      <c r="F8" s="128" t="n">
        <v>42635</v>
      </c>
      <c r="G8" s="0" t="s">
        <v>143</v>
      </c>
      <c r="H8" s="0" t="s">
        <v>151</v>
      </c>
    </row>
    <row r="9" customFormat="false" ht="15" hidden="false" customHeight="false" outlineLevel="0" collapsed="false">
      <c r="A9" s="0" t="s">
        <v>54</v>
      </c>
      <c r="B9" s="0" t="s">
        <v>55</v>
      </c>
      <c r="C9" s="0" t="s">
        <v>46</v>
      </c>
      <c r="D9" s="0" t="s">
        <v>139</v>
      </c>
      <c r="F9" s="128" t="n">
        <v>42635</v>
      </c>
      <c r="G9" s="0" t="s">
        <v>143</v>
      </c>
      <c r="H9" s="0" t="s">
        <v>152</v>
      </c>
    </row>
    <row r="10" customFormat="false" ht="15" hidden="false" customHeight="false" outlineLevel="0" collapsed="false">
      <c r="A10" s="0" t="s">
        <v>54</v>
      </c>
      <c r="B10" s="0" t="s">
        <v>55</v>
      </c>
      <c r="C10" s="0" t="s">
        <v>47</v>
      </c>
      <c r="D10" s="0" t="s">
        <v>139</v>
      </c>
      <c r="F10" s="128" t="n">
        <v>42635</v>
      </c>
      <c r="G10" s="0" t="s">
        <v>143</v>
      </c>
      <c r="H10" s="0" t="s">
        <v>153</v>
      </c>
    </row>
    <row r="11" customFormat="false" ht="15" hidden="false" customHeight="false" outlineLevel="0" collapsed="false">
      <c r="A11" s="0" t="s">
        <v>56</v>
      </c>
      <c r="B11" s="0" t="s">
        <v>57</v>
      </c>
      <c r="C11" s="0" t="s">
        <v>40</v>
      </c>
      <c r="D11" s="0" t="s">
        <v>137</v>
      </c>
      <c r="F11" s="128" t="n">
        <v>42636</v>
      </c>
      <c r="G11" s="0" t="s">
        <v>143</v>
      </c>
      <c r="H11" s="0" t="s">
        <v>154</v>
      </c>
    </row>
    <row r="12" customFormat="false" ht="15" hidden="false" customHeight="false" outlineLevel="0" collapsed="false">
      <c r="A12" s="0" t="s">
        <v>56</v>
      </c>
      <c r="B12" s="0" t="s">
        <v>57</v>
      </c>
      <c r="C12" s="0" t="s">
        <v>41</v>
      </c>
      <c r="D12" s="0" t="s">
        <v>138</v>
      </c>
      <c r="F12" s="128" t="n">
        <v>42636</v>
      </c>
      <c r="G12" s="0" t="s">
        <v>143</v>
      </c>
      <c r="H12" s="0" t="s">
        <v>155</v>
      </c>
    </row>
    <row r="13" customFormat="false" ht="15" hidden="false" customHeight="false" outlineLevel="0" collapsed="false">
      <c r="A13" s="0" t="s">
        <v>56</v>
      </c>
      <c r="B13" s="0" t="s">
        <v>58</v>
      </c>
      <c r="C13" s="0" t="s">
        <v>42</v>
      </c>
      <c r="D13" s="0" t="s">
        <v>140</v>
      </c>
      <c r="F13" s="128" t="n">
        <v>42635</v>
      </c>
      <c r="G13" s="0" t="s">
        <v>143</v>
      </c>
      <c r="H13" s="0" t="s">
        <v>156</v>
      </c>
    </row>
    <row r="14" customFormat="false" ht="15" hidden="false" customHeight="false" outlineLevel="0" collapsed="false">
      <c r="F14" s="128"/>
    </row>
    <row r="15" customFormat="false" ht="15" hidden="false" customHeight="false" outlineLevel="0" collapsed="false">
      <c r="F15" s="128"/>
    </row>
    <row r="16" customFormat="false" ht="15" hidden="false" customHeight="false" outlineLevel="0" collapsed="false">
      <c r="F16" s="128"/>
    </row>
    <row r="17" customFormat="false" ht="15" hidden="false" customHeight="false" outlineLevel="0" collapsed="false">
      <c r="F17" s="128"/>
    </row>
    <row r="18" customFormat="false" ht="15" hidden="false" customHeight="false" outlineLevel="0" collapsed="false">
      <c r="F18" s="128"/>
    </row>
    <row r="19" customFormat="false" ht="15" hidden="false" customHeight="false" outlineLevel="0" collapsed="false">
      <c r="F19" s="128"/>
    </row>
    <row r="20" customFormat="false" ht="15" hidden="false" customHeight="false" outlineLevel="0" collapsed="false">
      <c r="F20" s="128"/>
    </row>
    <row r="21" customFormat="false" ht="15" hidden="false" customHeight="false" outlineLevel="0" collapsed="false">
      <c r="F21" s="128"/>
    </row>
    <row r="22" customFormat="false" ht="15" hidden="false" customHeight="false" outlineLevel="0" collapsed="false">
      <c r="F22" s="128"/>
    </row>
    <row r="23" customFormat="false" ht="15" hidden="false" customHeight="false" outlineLevel="0" collapsed="false">
      <c r="F23" s="128"/>
    </row>
    <row r="24" customFormat="false" ht="15" hidden="false" customHeight="false" outlineLevel="0" collapsed="false">
      <c r="F24" s="128"/>
    </row>
    <row r="25" customFormat="false" ht="15" hidden="false" customHeight="false" outlineLevel="0" collapsed="false">
      <c r="F25" s="128"/>
    </row>
    <row r="26" customFormat="false" ht="15" hidden="false" customHeight="false" outlineLevel="0" collapsed="false">
      <c r="F26" s="128"/>
    </row>
    <row r="27" customFormat="false" ht="15" hidden="false" customHeight="false" outlineLevel="0" collapsed="false">
      <c r="F27" s="128"/>
    </row>
    <row r="28" customFormat="false" ht="15" hidden="false" customHeight="false" outlineLevel="0" collapsed="false">
      <c r="F28" s="128"/>
    </row>
    <row r="29" customFormat="false" ht="15" hidden="false" customHeight="false" outlineLevel="0" collapsed="false">
      <c r="F29" s="128"/>
    </row>
    <row r="30" customFormat="false" ht="15" hidden="false" customHeight="false" outlineLevel="0" collapsed="false">
      <c r="F30" s="128"/>
    </row>
    <row r="31" customFormat="false" ht="15" hidden="false" customHeight="false" outlineLevel="0" collapsed="false">
      <c r="F31" s="128"/>
    </row>
    <row r="32" customFormat="false" ht="15" hidden="false" customHeight="false" outlineLevel="0" collapsed="false">
      <c r="F32" s="128"/>
    </row>
    <row r="33" customFormat="false" ht="15" hidden="false" customHeight="false" outlineLevel="0" collapsed="false">
      <c r="F33" s="128"/>
    </row>
    <row r="34" customFormat="false" ht="15" hidden="false" customHeight="false" outlineLevel="0" collapsed="false">
      <c r="F34" s="128"/>
    </row>
    <row r="35" customFormat="false" ht="15" hidden="false" customHeight="false" outlineLevel="0" collapsed="false">
      <c r="F35" s="128"/>
    </row>
    <row r="36" customFormat="false" ht="15" hidden="false" customHeight="false" outlineLevel="0" collapsed="false">
      <c r="F36" s="128"/>
    </row>
    <row r="37" customFormat="false" ht="15" hidden="false" customHeight="false" outlineLevel="0" collapsed="false">
      <c r="F37" s="128"/>
    </row>
    <row r="38" customFormat="false" ht="15" hidden="false" customHeight="false" outlineLevel="0" collapsed="false">
      <c r="F38" s="128"/>
    </row>
    <row r="39" customFormat="false" ht="15" hidden="false" customHeight="false" outlineLevel="0" collapsed="false">
      <c r="F39" s="128"/>
    </row>
    <row r="40" customFormat="false" ht="15" hidden="false" customHeight="false" outlineLevel="0" collapsed="false">
      <c r="F40" s="128"/>
    </row>
    <row r="41" customFormat="false" ht="15" hidden="false" customHeight="false" outlineLevel="0" collapsed="false">
      <c r="F41" s="128"/>
    </row>
    <row r="42" customFormat="false" ht="15" hidden="false" customHeight="false" outlineLevel="0" collapsed="false">
      <c r="F42" s="128"/>
    </row>
    <row r="43" customFormat="false" ht="15" hidden="false" customHeight="false" outlineLevel="0" collapsed="false">
      <c r="F43" s="128"/>
    </row>
    <row r="44" customFormat="false" ht="15" hidden="false" customHeight="false" outlineLevel="0" collapsed="false">
      <c r="F44" s="128"/>
    </row>
    <row r="45" customFormat="false" ht="15" hidden="false" customHeight="false" outlineLevel="0" collapsed="false">
      <c r="F45" s="128"/>
    </row>
    <row r="46" customFormat="false" ht="15" hidden="false" customHeight="false" outlineLevel="0" collapsed="false">
      <c r="F46" s="128"/>
    </row>
    <row r="47" customFormat="false" ht="15" hidden="false" customHeight="false" outlineLevel="0" collapsed="false">
      <c r="F47" s="128"/>
    </row>
    <row r="48" customFormat="false" ht="15" hidden="false" customHeight="false" outlineLevel="0" collapsed="false">
      <c r="F48" s="128"/>
    </row>
    <row r="49" customFormat="false" ht="15" hidden="false" customHeight="false" outlineLevel="0" collapsed="false">
      <c r="F49" s="128"/>
    </row>
    <row r="50" customFormat="false" ht="15" hidden="false" customHeight="false" outlineLevel="0" collapsed="false">
      <c r="F50" s="128"/>
    </row>
    <row r="51" customFormat="false" ht="15" hidden="false" customHeight="false" outlineLevel="0" collapsed="false">
      <c r="F51" s="128"/>
    </row>
    <row r="52" customFormat="false" ht="15" hidden="false" customHeight="false" outlineLevel="0" collapsed="false">
      <c r="F52" s="128"/>
    </row>
    <row r="53" customFormat="false" ht="15" hidden="false" customHeight="false" outlineLevel="0" collapsed="false">
      <c r="F53" s="128"/>
    </row>
    <row r="54" customFormat="false" ht="15" hidden="false" customHeight="false" outlineLevel="0" collapsed="false">
      <c r="F54" s="128"/>
    </row>
    <row r="55" customFormat="false" ht="15" hidden="false" customHeight="false" outlineLevel="0" collapsed="false">
      <c r="F55" s="128"/>
    </row>
    <row r="56" customFormat="false" ht="15" hidden="false" customHeight="false" outlineLevel="0" collapsed="false">
      <c r="F56" s="128"/>
    </row>
    <row r="57" customFormat="false" ht="15" hidden="false" customHeight="false" outlineLevel="0" collapsed="false">
      <c r="F57" s="128"/>
    </row>
    <row r="58" customFormat="false" ht="15" hidden="false" customHeight="false" outlineLevel="0" collapsed="false">
      <c r="F58" s="128"/>
    </row>
    <row r="59" customFormat="false" ht="15" hidden="false" customHeight="false" outlineLevel="0" collapsed="false">
      <c r="F59" s="128"/>
    </row>
    <row r="60" customFormat="false" ht="15" hidden="false" customHeight="false" outlineLevel="0" collapsed="false">
      <c r="F60" s="128"/>
    </row>
    <row r="61" customFormat="false" ht="15" hidden="false" customHeight="false" outlineLevel="0" collapsed="false">
      <c r="F61" s="128"/>
    </row>
    <row r="62" customFormat="false" ht="15" hidden="false" customHeight="false" outlineLevel="0" collapsed="false">
      <c r="F62" s="128"/>
    </row>
    <row r="63" customFormat="false" ht="15" hidden="false" customHeight="false" outlineLevel="0" collapsed="false">
      <c r="F63" s="128"/>
    </row>
    <row r="64" customFormat="false" ht="15" hidden="false" customHeight="false" outlineLevel="0" collapsed="false">
      <c r="F64" s="128"/>
    </row>
    <row r="65" customFormat="false" ht="15" hidden="false" customHeight="false" outlineLevel="0" collapsed="false">
      <c r="F65" s="128"/>
    </row>
    <row r="66" customFormat="false" ht="15" hidden="false" customHeight="false" outlineLevel="0" collapsed="false">
      <c r="F66" s="128"/>
    </row>
    <row r="67" customFormat="false" ht="15" hidden="false" customHeight="false" outlineLevel="0" collapsed="false">
      <c r="F67" s="128"/>
    </row>
    <row r="68" customFormat="false" ht="15" hidden="false" customHeight="false" outlineLevel="0" collapsed="false">
      <c r="F68" s="128"/>
    </row>
    <row r="69" customFormat="false" ht="15" hidden="false" customHeight="false" outlineLevel="0" collapsed="false">
      <c r="F69" s="128"/>
    </row>
    <row r="70" customFormat="false" ht="15" hidden="false" customHeight="false" outlineLevel="0" collapsed="false">
      <c r="F70" s="128"/>
    </row>
    <row r="71" customFormat="false" ht="15" hidden="false" customHeight="false" outlineLevel="0" collapsed="false">
      <c r="F71" s="128"/>
    </row>
    <row r="72" customFormat="false" ht="15" hidden="false" customHeight="false" outlineLevel="0" collapsed="false">
      <c r="F72" s="128"/>
    </row>
    <row r="73" customFormat="false" ht="15" hidden="false" customHeight="false" outlineLevel="0" collapsed="false">
      <c r="F73" s="128"/>
    </row>
    <row r="74" customFormat="false" ht="15" hidden="false" customHeight="false" outlineLevel="0" collapsed="false">
      <c r="F74" s="128"/>
    </row>
    <row r="75" customFormat="false" ht="15" hidden="false" customHeight="false" outlineLevel="0" collapsed="false">
      <c r="F75" s="128"/>
    </row>
    <row r="76" customFormat="false" ht="15" hidden="false" customHeight="false" outlineLevel="0" collapsed="false">
      <c r="F76" s="128"/>
    </row>
    <row r="77" customFormat="false" ht="15" hidden="false" customHeight="false" outlineLevel="0" collapsed="false">
      <c r="F77" s="128"/>
    </row>
    <row r="78" customFormat="false" ht="15" hidden="false" customHeight="false" outlineLevel="0" collapsed="false">
      <c r="F78" s="128"/>
    </row>
    <row r="79" customFormat="false" ht="15" hidden="false" customHeight="false" outlineLevel="0" collapsed="false">
      <c r="F79" s="128"/>
    </row>
    <row r="80" customFormat="false" ht="15" hidden="false" customHeight="false" outlineLevel="0" collapsed="false">
      <c r="F80" s="128"/>
    </row>
    <row r="81" customFormat="false" ht="15" hidden="false" customHeight="false" outlineLevel="0" collapsed="false">
      <c r="F81" s="128"/>
    </row>
    <row r="82" customFormat="false" ht="15" hidden="false" customHeight="false" outlineLevel="0" collapsed="false">
      <c r="F82" s="128"/>
    </row>
    <row r="83" customFormat="false" ht="15" hidden="false" customHeight="false" outlineLevel="0" collapsed="false">
      <c r="F83" s="128"/>
    </row>
    <row r="84" customFormat="false" ht="15" hidden="false" customHeight="false" outlineLevel="0" collapsed="false">
      <c r="F84" s="128"/>
    </row>
    <row r="85" customFormat="false" ht="15" hidden="false" customHeight="false" outlineLevel="0" collapsed="false">
      <c r="F85" s="128"/>
    </row>
    <row r="86" customFormat="false" ht="15" hidden="false" customHeight="false" outlineLevel="0" collapsed="false">
      <c r="F86" s="128"/>
    </row>
    <row r="87" customFormat="false" ht="15" hidden="false" customHeight="false" outlineLevel="0" collapsed="false">
      <c r="F87" s="128"/>
    </row>
    <row r="88" customFormat="false" ht="15" hidden="false" customHeight="false" outlineLevel="0" collapsed="false">
      <c r="F88" s="128"/>
    </row>
    <row r="89" customFormat="false" ht="15" hidden="false" customHeight="false" outlineLevel="0" collapsed="false">
      <c r="F89" s="128"/>
    </row>
    <row r="90" customFormat="false" ht="15" hidden="false" customHeight="false" outlineLevel="0" collapsed="false">
      <c r="F90" s="128"/>
    </row>
    <row r="91" customFormat="false" ht="15" hidden="false" customHeight="false" outlineLevel="0" collapsed="false">
      <c r="F91" s="128"/>
    </row>
    <row r="92" customFormat="false" ht="15" hidden="false" customHeight="false" outlineLevel="0" collapsed="false">
      <c r="F92" s="128"/>
    </row>
    <row r="93" customFormat="false" ht="15" hidden="false" customHeight="false" outlineLevel="0" collapsed="false">
      <c r="F93" s="128"/>
    </row>
    <row r="94" customFormat="false" ht="15" hidden="false" customHeight="false" outlineLevel="0" collapsed="false">
      <c r="F94" s="128"/>
    </row>
    <row r="95" customFormat="false" ht="15" hidden="false" customHeight="false" outlineLevel="0" collapsed="false">
      <c r="F95" s="128"/>
    </row>
    <row r="96" customFormat="false" ht="15" hidden="false" customHeight="false" outlineLevel="0" collapsed="false">
      <c r="F96" s="128"/>
    </row>
    <row r="97" customFormat="false" ht="15" hidden="false" customHeight="false" outlineLevel="0" collapsed="false">
      <c r="F97" s="128"/>
    </row>
    <row r="98" customFormat="false" ht="15" hidden="false" customHeight="false" outlineLevel="0" collapsed="false">
      <c r="F98" s="128"/>
    </row>
    <row r="99" customFormat="false" ht="15" hidden="false" customHeight="false" outlineLevel="0" collapsed="false">
      <c r="F99" s="128"/>
    </row>
    <row r="100" customFormat="false" ht="15" hidden="false" customHeight="false" outlineLevel="0" collapsed="false">
      <c r="F100" s="128"/>
    </row>
    <row r="101" customFormat="false" ht="15" hidden="false" customHeight="false" outlineLevel="0" collapsed="false">
      <c r="F101" s="128"/>
    </row>
    <row r="102" customFormat="false" ht="15" hidden="false" customHeight="false" outlineLevel="0" collapsed="false">
      <c r="F102" s="128"/>
    </row>
    <row r="103" customFormat="false" ht="15" hidden="false" customHeight="false" outlineLevel="0" collapsed="false">
      <c r="F103" s="128"/>
    </row>
    <row r="104" customFormat="false" ht="15" hidden="false" customHeight="false" outlineLevel="0" collapsed="false">
      <c r="F104" s="128"/>
    </row>
    <row r="105" customFormat="false" ht="15" hidden="false" customHeight="false" outlineLevel="0" collapsed="false">
      <c r="F105" s="128"/>
    </row>
    <row r="106" customFormat="false" ht="15" hidden="false" customHeight="false" outlineLevel="0" collapsed="false">
      <c r="F106" s="128"/>
    </row>
    <row r="107" customFormat="false" ht="15" hidden="false" customHeight="false" outlineLevel="0" collapsed="false">
      <c r="F107" s="128"/>
    </row>
    <row r="108" customFormat="false" ht="15" hidden="false" customHeight="false" outlineLevel="0" collapsed="false">
      <c r="F108" s="128"/>
    </row>
    <row r="109" customFormat="false" ht="15" hidden="false" customHeight="false" outlineLevel="0" collapsed="false">
      <c r="F109" s="128"/>
    </row>
    <row r="110" customFormat="false" ht="15" hidden="false" customHeight="false" outlineLevel="0" collapsed="false">
      <c r="F110" s="128"/>
    </row>
    <row r="111" customFormat="false" ht="15" hidden="false" customHeight="false" outlineLevel="0" collapsed="false">
      <c r="F111" s="128"/>
    </row>
    <row r="112" customFormat="false" ht="15" hidden="false" customHeight="false" outlineLevel="0" collapsed="false">
      <c r="F112" s="128"/>
    </row>
    <row r="113" customFormat="false" ht="15" hidden="false" customHeight="false" outlineLevel="0" collapsed="false">
      <c r="F113" s="128"/>
    </row>
    <row r="114" customFormat="false" ht="15" hidden="false" customHeight="false" outlineLevel="0" collapsed="false">
      <c r="F114" s="128"/>
    </row>
    <row r="115" customFormat="false" ht="15" hidden="false" customHeight="false" outlineLevel="0" collapsed="false">
      <c r="F115" s="128"/>
    </row>
    <row r="116" customFormat="false" ht="15" hidden="false" customHeight="false" outlineLevel="0" collapsed="false">
      <c r="F116" s="128"/>
    </row>
    <row r="117" customFormat="false" ht="15" hidden="false" customHeight="false" outlineLevel="0" collapsed="false">
      <c r="F117" s="128"/>
    </row>
    <row r="118" customFormat="false" ht="15" hidden="false" customHeight="false" outlineLevel="0" collapsed="false">
      <c r="F118" s="128"/>
    </row>
    <row r="119" customFormat="false" ht="15" hidden="false" customHeight="false" outlineLevel="0" collapsed="false">
      <c r="F119" s="128"/>
    </row>
    <row r="120" customFormat="false" ht="15" hidden="false" customHeight="false" outlineLevel="0" collapsed="false">
      <c r="F120" s="128"/>
    </row>
    <row r="121" customFormat="false" ht="15" hidden="false" customHeight="false" outlineLevel="0" collapsed="false">
      <c r="F121" s="128"/>
    </row>
    <row r="122" customFormat="false" ht="15" hidden="false" customHeight="false" outlineLevel="0" collapsed="false">
      <c r="F122" s="128"/>
    </row>
    <row r="156" customFormat="false" ht="15" hidden="false" customHeight="false" outlineLevel="0" collapsed="false">
      <c r="F156" s="128"/>
    </row>
    <row r="157" customFormat="false" ht="15" hidden="false" customHeight="false" outlineLevel="0" collapsed="false">
      <c r="F157" s="128"/>
    </row>
    <row r="158" customFormat="false" ht="15" hidden="false" customHeight="false" outlineLevel="0" collapsed="false">
      <c r="F158" s="128"/>
    </row>
    <row r="159" customFormat="false" ht="15" hidden="false" customHeight="false" outlineLevel="0" collapsed="false">
      <c r="F159" s="128"/>
    </row>
    <row r="160" customFormat="false" ht="15" hidden="false" customHeight="false" outlineLevel="0" collapsed="false">
      <c r="F160" s="128"/>
    </row>
    <row r="161" customFormat="false" ht="15" hidden="false" customHeight="false" outlineLevel="0" collapsed="false">
      <c r="F161" s="128"/>
    </row>
    <row r="162" customFormat="false" ht="15" hidden="false" customHeight="false" outlineLevel="0" collapsed="false">
      <c r="F162" s="128"/>
    </row>
    <row r="163" customFormat="false" ht="15" hidden="false" customHeight="false" outlineLevel="0" collapsed="false">
      <c r="F163" s="128"/>
    </row>
    <row r="164" customFormat="false" ht="15" hidden="false" customHeight="false" outlineLevel="0" collapsed="false">
      <c r="F164" s="128"/>
    </row>
    <row r="165" customFormat="false" ht="15" hidden="false" customHeight="false" outlineLevel="0" collapsed="false">
      <c r="F165" s="128"/>
    </row>
    <row r="166" customFormat="false" ht="15" hidden="false" customHeight="false" outlineLevel="0" collapsed="false">
      <c r="F166" s="128"/>
    </row>
    <row r="167" customFormat="false" ht="15" hidden="false" customHeight="false" outlineLevel="0" collapsed="false">
      <c r="F167" s="128"/>
    </row>
    <row r="168" customFormat="false" ht="15" hidden="false" customHeight="false" outlineLevel="0" collapsed="false">
      <c r="F168" s="128"/>
    </row>
    <row r="169" customFormat="false" ht="15" hidden="false" customHeight="false" outlineLevel="0" collapsed="false">
      <c r="F169" s="128"/>
    </row>
    <row r="170" customFormat="false" ht="15" hidden="false" customHeight="false" outlineLevel="0" collapsed="false">
      <c r="F170" s="128"/>
    </row>
    <row r="171" customFormat="false" ht="15" hidden="false" customHeight="false" outlineLevel="0" collapsed="false">
      <c r="F171" s="128"/>
    </row>
    <row r="172" customFormat="false" ht="15" hidden="false" customHeight="false" outlineLevel="0" collapsed="false">
      <c r="F172" s="128"/>
    </row>
    <row r="173" customFormat="false" ht="15" hidden="false" customHeight="false" outlineLevel="0" collapsed="false">
      <c r="F173" s="128"/>
    </row>
    <row r="174" customFormat="false" ht="15" hidden="false" customHeight="false" outlineLevel="0" collapsed="false">
      <c r="F174" s="128"/>
    </row>
    <row r="175" customFormat="false" ht="15" hidden="false" customHeight="false" outlineLevel="0" collapsed="false">
      <c r="F175" s="128"/>
    </row>
    <row r="176" customFormat="false" ht="15" hidden="false" customHeight="false" outlineLevel="0" collapsed="false">
      <c r="F176" s="128"/>
    </row>
    <row r="177" customFormat="false" ht="15" hidden="false" customHeight="false" outlineLevel="0" collapsed="false">
      <c r="F177" s="128"/>
    </row>
    <row r="178" customFormat="false" ht="15" hidden="false" customHeight="false" outlineLevel="0" collapsed="false">
      <c r="F178" s="128"/>
    </row>
    <row r="179" customFormat="false" ht="15" hidden="false" customHeight="false" outlineLevel="0" collapsed="false">
      <c r="F179" s="128"/>
    </row>
    <row r="180" customFormat="false" ht="15" hidden="false" customHeight="false" outlineLevel="0" collapsed="false">
      <c r="F180" s="128"/>
    </row>
    <row r="181" customFormat="false" ht="15" hidden="false" customHeight="false" outlineLevel="0" collapsed="false">
      <c r="F181" s="128"/>
    </row>
    <row r="182" customFormat="false" ht="15" hidden="false" customHeight="false" outlineLevel="0" collapsed="false">
      <c r="F182" s="128"/>
    </row>
    <row r="183" customFormat="false" ht="15" hidden="false" customHeight="false" outlineLevel="0" collapsed="false">
      <c r="F183" s="128"/>
    </row>
    <row r="184" customFormat="false" ht="15" hidden="false" customHeight="false" outlineLevel="0" collapsed="false">
      <c r="F184" s="128"/>
    </row>
    <row r="185" customFormat="false" ht="15" hidden="false" customHeight="false" outlineLevel="0" collapsed="false">
      <c r="F185" s="128"/>
    </row>
    <row r="186" customFormat="false" ht="15" hidden="false" customHeight="false" outlineLevel="0" collapsed="false">
      <c r="F186" s="128"/>
    </row>
    <row r="187" customFormat="false" ht="15" hidden="false" customHeight="false" outlineLevel="0" collapsed="false">
      <c r="F187" s="128"/>
    </row>
    <row r="188" customFormat="false" ht="15" hidden="false" customHeight="false" outlineLevel="0" collapsed="false">
      <c r="F188" s="128"/>
    </row>
    <row r="189" customFormat="false" ht="15" hidden="false" customHeight="false" outlineLevel="0" collapsed="false">
      <c r="F189" s="128"/>
    </row>
    <row r="190" customFormat="false" ht="15" hidden="false" customHeight="false" outlineLevel="0" collapsed="false">
      <c r="F190" s="128"/>
    </row>
    <row r="191" customFormat="false" ht="15" hidden="false" customHeight="false" outlineLevel="0" collapsed="false">
      <c r="F191" s="128"/>
    </row>
    <row r="192" customFormat="false" ht="15" hidden="false" customHeight="false" outlineLevel="0" collapsed="false">
      <c r="F192" s="128"/>
    </row>
    <row r="193" customFormat="false" ht="15" hidden="false" customHeight="false" outlineLevel="0" collapsed="false">
      <c r="F193" s="128"/>
    </row>
    <row r="194" customFormat="false" ht="15" hidden="false" customHeight="false" outlineLevel="0" collapsed="false">
      <c r="F194" s="128"/>
    </row>
    <row r="195" customFormat="false" ht="15" hidden="false" customHeight="false" outlineLevel="0" collapsed="false">
      <c r="F195" s="128"/>
    </row>
    <row r="196" customFormat="false" ht="15" hidden="false" customHeight="false" outlineLevel="0" collapsed="false">
      <c r="F196" s="128"/>
    </row>
    <row r="197" customFormat="false" ht="15" hidden="false" customHeight="false" outlineLevel="0" collapsed="false">
      <c r="F197" s="128"/>
    </row>
    <row r="198" customFormat="false" ht="15" hidden="false" customHeight="false" outlineLevel="0" collapsed="false">
      <c r="F198" s="128"/>
    </row>
    <row r="199" customFormat="false" ht="15" hidden="false" customHeight="false" outlineLevel="0" collapsed="false">
      <c r="F199" s="128"/>
    </row>
    <row r="200" customFormat="false" ht="15" hidden="false" customHeight="false" outlineLevel="0" collapsed="false">
      <c r="F200" s="128"/>
    </row>
    <row r="201" customFormat="false" ht="15" hidden="false" customHeight="false" outlineLevel="0" collapsed="false">
      <c r="F201" s="128"/>
    </row>
    <row r="202" customFormat="false" ht="15" hidden="false" customHeight="false" outlineLevel="0" collapsed="false">
      <c r="F202" s="128"/>
    </row>
    <row r="203" customFormat="false" ht="15" hidden="false" customHeight="false" outlineLevel="0" collapsed="false">
      <c r="F203" s="128"/>
    </row>
    <row r="204" customFormat="false" ht="15" hidden="false" customHeight="false" outlineLevel="0" collapsed="false">
      <c r="F204" s="128"/>
    </row>
    <row r="205" customFormat="false" ht="15" hidden="false" customHeight="false" outlineLevel="0" collapsed="false">
      <c r="F205" s="128"/>
    </row>
    <row r="206" customFormat="false" ht="15" hidden="false" customHeight="false" outlineLevel="0" collapsed="false">
      <c r="F206" s="128"/>
    </row>
    <row r="207" customFormat="false" ht="15" hidden="false" customHeight="false" outlineLevel="0" collapsed="false">
      <c r="F207" s="128"/>
    </row>
    <row r="208" customFormat="false" ht="15" hidden="false" customHeight="false" outlineLevel="0" collapsed="false">
      <c r="F208" s="128"/>
    </row>
    <row r="209" customFormat="false" ht="15" hidden="false" customHeight="false" outlineLevel="0" collapsed="false">
      <c r="F209" s="128"/>
    </row>
    <row r="210" customFormat="false" ht="15" hidden="false" customHeight="false" outlineLevel="0" collapsed="false">
      <c r="F210" s="128"/>
    </row>
    <row r="211" customFormat="false" ht="15" hidden="false" customHeight="false" outlineLevel="0" collapsed="false">
      <c r="F211" s="128"/>
    </row>
    <row r="212" customFormat="false" ht="15" hidden="false" customHeight="false" outlineLevel="0" collapsed="false">
      <c r="F212" s="128"/>
    </row>
    <row r="213" customFormat="false" ht="15" hidden="false" customHeight="false" outlineLevel="0" collapsed="false">
      <c r="F213" s="128"/>
    </row>
    <row r="214" customFormat="false" ht="15" hidden="false" customHeight="false" outlineLevel="0" collapsed="false">
      <c r="F214" s="128"/>
    </row>
    <row r="215" customFormat="false" ht="15" hidden="false" customHeight="false" outlineLevel="0" collapsed="false">
      <c r="F215" s="128"/>
    </row>
    <row r="216" customFormat="false" ht="15" hidden="false" customHeight="false" outlineLevel="0" collapsed="false">
      <c r="F216" s="128"/>
    </row>
    <row r="217" customFormat="false" ht="15" hidden="false" customHeight="false" outlineLevel="0" collapsed="false">
      <c r="F217" s="128"/>
    </row>
    <row r="218" customFormat="false" ht="15" hidden="false" customHeight="false" outlineLevel="0" collapsed="false">
      <c r="F218" s="128"/>
    </row>
    <row r="219" customFormat="false" ht="15" hidden="false" customHeight="false" outlineLevel="0" collapsed="false">
      <c r="F219" s="128"/>
    </row>
    <row r="220" customFormat="false" ht="15" hidden="false" customHeight="false" outlineLevel="0" collapsed="false">
      <c r="F220" s="128"/>
    </row>
    <row r="221" customFormat="false" ht="15" hidden="false" customHeight="false" outlineLevel="0" collapsed="false">
      <c r="F221" s="128"/>
    </row>
    <row r="222" customFormat="false" ht="15" hidden="false" customHeight="false" outlineLevel="0" collapsed="false">
      <c r="F222" s="128"/>
    </row>
    <row r="223" customFormat="false" ht="15" hidden="false" customHeight="false" outlineLevel="0" collapsed="false">
      <c r="F223" s="128"/>
    </row>
    <row r="224" customFormat="false" ht="15" hidden="false" customHeight="false" outlineLevel="0" collapsed="false">
      <c r="F224" s="128"/>
    </row>
    <row r="225" customFormat="false" ht="15" hidden="false" customHeight="false" outlineLevel="0" collapsed="false">
      <c r="F225" s="128"/>
    </row>
    <row r="226" customFormat="false" ht="15" hidden="false" customHeight="false" outlineLevel="0" collapsed="false">
      <c r="F226" s="128"/>
    </row>
    <row r="227" customFormat="false" ht="15" hidden="false" customHeight="false" outlineLevel="0" collapsed="false">
      <c r="F227" s="128"/>
    </row>
    <row r="228" customFormat="false" ht="15" hidden="false" customHeight="false" outlineLevel="0" collapsed="false">
      <c r="F228" s="128"/>
    </row>
    <row r="229" customFormat="false" ht="15" hidden="false" customHeight="false" outlineLevel="0" collapsed="false">
      <c r="F229" s="128"/>
    </row>
    <row r="230" customFormat="false" ht="15" hidden="false" customHeight="false" outlineLevel="0" collapsed="false">
      <c r="F230" s="128"/>
    </row>
    <row r="231" customFormat="false" ht="15" hidden="false" customHeight="false" outlineLevel="0" collapsed="false">
      <c r="F231" s="128"/>
    </row>
    <row r="232" customFormat="false" ht="15" hidden="false" customHeight="false" outlineLevel="0" collapsed="false">
      <c r="F232" s="128"/>
    </row>
    <row r="233" customFormat="false" ht="15" hidden="false" customHeight="false" outlineLevel="0" collapsed="false">
      <c r="F233" s="128"/>
    </row>
    <row r="234" customFormat="false" ht="15" hidden="false" customHeight="false" outlineLevel="0" collapsed="false">
      <c r="F234" s="128"/>
    </row>
    <row r="235" customFormat="false" ht="15" hidden="false" customHeight="false" outlineLevel="0" collapsed="false">
      <c r="F235" s="128"/>
    </row>
    <row r="236" customFormat="false" ht="15" hidden="false" customHeight="false" outlineLevel="0" collapsed="false">
      <c r="F236" s="128"/>
    </row>
    <row r="237" customFormat="false" ht="15" hidden="false" customHeight="false" outlineLevel="0" collapsed="false">
      <c r="F237" s="128"/>
    </row>
    <row r="238" customFormat="false" ht="15" hidden="false" customHeight="false" outlineLevel="0" collapsed="false">
      <c r="F238" s="128"/>
    </row>
    <row r="239" customFormat="false" ht="15" hidden="false" customHeight="false" outlineLevel="0" collapsed="false">
      <c r="F239" s="128"/>
    </row>
    <row r="240" customFormat="false" ht="15" hidden="false" customHeight="false" outlineLevel="0" collapsed="false">
      <c r="F240" s="128"/>
    </row>
    <row r="241" customFormat="false" ht="15" hidden="false" customHeight="false" outlineLevel="0" collapsed="false">
      <c r="F241" s="128"/>
    </row>
    <row r="242" customFormat="false" ht="15" hidden="false" customHeight="false" outlineLevel="0" collapsed="false">
      <c r="F242" s="128"/>
    </row>
    <row r="243" customFormat="false" ht="15" hidden="false" customHeight="false" outlineLevel="0" collapsed="false">
      <c r="F243" s="128"/>
    </row>
    <row r="244" customFormat="false" ht="15" hidden="false" customHeight="false" outlineLevel="0" collapsed="false">
      <c r="F244" s="128"/>
    </row>
    <row r="245" customFormat="false" ht="15" hidden="false" customHeight="false" outlineLevel="0" collapsed="false">
      <c r="F245" s="128"/>
    </row>
    <row r="246" customFormat="false" ht="15" hidden="false" customHeight="false" outlineLevel="0" collapsed="false">
      <c r="F246" s="128"/>
    </row>
    <row r="247" customFormat="false" ht="15" hidden="false" customHeight="false" outlineLevel="0" collapsed="false">
      <c r="F247" s="128"/>
    </row>
    <row r="248" customFormat="false" ht="15" hidden="false" customHeight="false" outlineLevel="0" collapsed="false">
      <c r="F248" s="128"/>
    </row>
    <row r="249" customFormat="false" ht="15" hidden="false" customHeight="false" outlineLevel="0" collapsed="false">
      <c r="F249" s="128"/>
    </row>
    <row r="250" customFormat="false" ht="15" hidden="false" customHeight="false" outlineLevel="0" collapsed="false">
      <c r="F250" s="128"/>
    </row>
    <row r="251" customFormat="false" ht="15" hidden="false" customHeight="false" outlineLevel="0" collapsed="false">
      <c r="F251" s="128"/>
    </row>
    <row r="252" customFormat="false" ht="15" hidden="false" customHeight="false" outlineLevel="0" collapsed="false">
      <c r="F252" s="128"/>
    </row>
    <row r="253" customFormat="false" ht="15" hidden="false" customHeight="false" outlineLevel="0" collapsed="false">
      <c r="F253" s="128"/>
    </row>
    <row r="254" customFormat="false" ht="15" hidden="false" customHeight="false" outlineLevel="0" collapsed="false">
      <c r="F254" s="128"/>
    </row>
    <row r="255" customFormat="false" ht="15" hidden="false" customHeight="false" outlineLevel="0" collapsed="false">
      <c r="F255" s="128"/>
    </row>
    <row r="256" customFormat="false" ht="15" hidden="false" customHeight="false" outlineLevel="0" collapsed="false">
      <c r="F256" s="128"/>
    </row>
    <row r="257" customFormat="false" ht="15" hidden="false" customHeight="false" outlineLevel="0" collapsed="false">
      <c r="F257" s="128"/>
    </row>
    <row r="258" customFormat="false" ht="15" hidden="false" customHeight="false" outlineLevel="0" collapsed="false">
      <c r="F258" s="128"/>
    </row>
    <row r="259" customFormat="false" ht="15" hidden="false" customHeight="false" outlineLevel="0" collapsed="false">
      <c r="F259" s="128"/>
    </row>
    <row r="260" customFormat="false" ht="15" hidden="false" customHeight="false" outlineLevel="0" collapsed="false">
      <c r="F260" s="128"/>
    </row>
    <row r="261" customFormat="false" ht="15" hidden="false" customHeight="false" outlineLevel="0" collapsed="false">
      <c r="F261" s="128"/>
    </row>
    <row r="262" customFormat="false" ht="15" hidden="false" customHeight="false" outlineLevel="0" collapsed="false">
      <c r="F262" s="128"/>
    </row>
    <row r="263" customFormat="false" ht="15" hidden="false" customHeight="false" outlineLevel="0" collapsed="false">
      <c r="F263" s="128"/>
    </row>
    <row r="264" customFormat="false" ht="15" hidden="false" customHeight="false" outlineLevel="0" collapsed="false">
      <c r="F264" s="128"/>
    </row>
    <row r="265" customFormat="false" ht="15" hidden="false" customHeight="false" outlineLevel="0" collapsed="false">
      <c r="F265" s="128"/>
    </row>
    <row r="266" customFormat="false" ht="15" hidden="false" customHeight="false" outlineLevel="0" collapsed="false">
      <c r="F266" s="128"/>
    </row>
    <row r="267" customFormat="false" ht="15" hidden="false" customHeight="false" outlineLevel="0" collapsed="false">
      <c r="F267" s="128"/>
    </row>
    <row r="268" customFormat="false" ht="15" hidden="false" customHeight="false" outlineLevel="0" collapsed="false">
      <c r="F268" s="128"/>
    </row>
    <row r="269" customFormat="false" ht="15" hidden="false" customHeight="false" outlineLevel="0" collapsed="false">
      <c r="F269" s="128"/>
    </row>
    <row r="270" customFormat="false" ht="15" hidden="false" customHeight="false" outlineLevel="0" collapsed="false">
      <c r="F270" s="128"/>
    </row>
    <row r="271" customFormat="false" ht="15" hidden="false" customHeight="false" outlineLevel="0" collapsed="false">
      <c r="F271" s="128"/>
    </row>
    <row r="272" customFormat="false" ht="15" hidden="false" customHeight="false" outlineLevel="0" collapsed="false">
      <c r="F272" s="128"/>
    </row>
    <row r="273" customFormat="false" ht="15" hidden="false" customHeight="false" outlineLevel="0" collapsed="false">
      <c r="F273" s="128"/>
    </row>
    <row r="274" customFormat="false" ht="15" hidden="false" customHeight="false" outlineLevel="0" collapsed="false">
      <c r="F274" s="128"/>
    </row>
    <row r="275" customFormat="false" ht="15" hidden="false" customHeight="false" outlineLevel="0" collapsed="false">
      <c r="F275" s="128"/>
    </row>
    <row r="276" customFormat="false" ht="15" hidden="false" customHeight="false" outlineLevel="0" collapsed="false">
      <c r="F276" s="128"/>
    </row>
    <row r="277" customFormat="false" ht="15" hidden="false" customHeight="false" outlineLevel="0" collapsed="false">
      <c r="F277" s="128"/>
    </row>
    <row r="278" customFormat="false" ht="15" hidden="false" customHeight="false" outlineLevel="0" collapsed="false">
      <c r="F278" s="128"/>
    </row>
    <row r="279" customFormat="false" ht="15" hidden="false" customHeight="false" outlineLevel="0" collapsed="false">
      <c r="F279" s="128"/>
    </row>
    <row r="280" customFormat="false" ht="15" hidden="false" customHeight="false" outlineLevel="0" collapsed="false">
      <c r="F280" s="128"/>
    </row>
    <row r="282" customFormat="false" ht="15" hidden="false" customHeight="false" outlineLevel="0" collapsed="false">
      <c r="F282" s="128"/>
    </row>
    <row r="283" customFormat="false" ht="15" hidden="false" customHeight="false" outlineLevel="0" collapsed="false">
      <c r="F283" s="128"/>
    </row>
    <row r="284" customFormat="false" ht="15" hidden="false" customHeight="false" outlineLevel="0" collapsed="false">
      <c r="F284" s="128"/>
    </row>
    <row r="285" customFormat="false" ht="15" hidden="false" customHeight="false" outlineLevel="0" collapsed="false">
      <c r="F285" s="128"/>
    </row>
    <row r="286" customFormat="false" ht="15" hidden="false" customHeight="false" outlineLevel="0" collapsed="false">
      <c r="F286" s="128"/>
    </row>
    <row r="287" customFormat="false" ht="15" hidden="false" customHeight="false" outlineLevel="0" collapsed="false">
      <c r="F287" s="128"/>
    </row>
    <row r="288" customFormat="false" ht="15" hidden="false" customHeight="false" outlineLevel="0" collapsed="false">
      <c r="F288" s="128"/>
    </row>
    <row r="289" customFormat="false" ht="15" hidden="false" customHeight="false" outlineLevel="0" collapsed="false">
      <c r="F289" s="128"/>
    </row>
    <row r="290" customFormat="false" ht="15" hidden="false" customHeight="false" outlineLevel="0" collapsed="false">
      <c r="F290" s="128"/>
    </row>
    <row r="291" customFormat="false" ht="15" hidden="false" customHeight="false" outlineLevel="0" collapsed="false">
      <c r="F291" s="128"/>
    </row>
    <row r="292" customFormat="false" ht="15" hidden="false" customHeight="false" outlineLevel="0" collapsed="false">
      <c r="F292" s="128"/>
    </row>
    <row r="293" customFormat="false" ht="15" hidden="false" customHeight="false" outlineLevel="0" collapsed="false">
      <c r="F293" s="128"/>
    </row>
    <row r="302" customFormat="false" ht="15" hidden="false" customHeight="false" outlineLevel="0" collapsed="false">
      <c r="F302" s="128"/>
    </row>
    <row r="303" customFormat="false" ht="15" hidden="false" customHeight="false" outlineLevel="0" collapsed="false">
      <c r="F303" s="128"/>
    </row>
    <row r="304" customFormat="false" ht="15" hidden="false" customHeight="false" outlineLevel="0" collapsed="false">
      <c r="F304" s="128"/>
    </row>
    <row r="305" customFormat="false" ht="15" hidden="false" customHeight="false" outlineLevel="0" collapsed="false">
      <c r="F305" s="128"/>
    </row>
    <row r="306" customFormat="false" ht="15" hidden="false" customHeight="false" outlineLevel="0" collapsed="false">
      <c r="F306" s="128"/>
    </row>
    <row r="307" customFormat="false" ht="15" hidden="false" customHeight="false" outlineLevel="0" collapsed="false">
      <c r="F307" s="128"/>
    </row>
    <row r="308" customFormat="false" ht="15" hidden="false" customHeight="false" outlineLevel="0" collapsed="false">
      <c r="F308" s="128"/>
    </row>
    <row r="309" customFormat="false" ht="15" hidden="false" customHeight="false" outlineLevel="0" collapsed="false">
      <c r="F309" s="128"/>
    </row>
    <row r="310" customFormat="false" ht="15" hidden="false" customHeight="false" outlineLevel="0" collapsed="false">
      <c r="F310" s="128"/>
    </row>
    <row r="311" customFormat="false" ht="15" hidden="false" customHeight="false" outlineLevel="0" collapsed="false">
      <c r="F311" s="128"/>
    </row>
    <row r="312" customFormat="false" ht="15" hidden="false" customHeight="false" outlineLevel="0" collapsed="false">
      <c r="F312" s="128"/>
    </row>
    <row r="313" customFormat="false" ht="15" hidden="false" customHeight="false" outlineLevel="0" collapsed="false">
      <c r="F313" s="128"/>
    </row>
    <row r="314" customFormat="false" ht="15" hidden="false" customHeight="false" outlineLevel="0" collapsed="false">
      <c r="F314" s="128"/>
    </row>
    <row r="315" customFormat="false" ht="15" hidden="false" customHeight="false" outlineLevel="0" collapsed="false">
      <c r="F315" s="128"/>
    </row>
    <row r="316" customFormat="false" ht="15" hidden="false" customHeight="false" outlineLevel="0" collapsed="false">
      <c r="F316" s="128"/>
    </row>
    <row r="317" customFormat="false" ht="15" hidden="false" customHeight="false" outlineLevel="0" collapsed="false">
      <c r="F317" s="128"/>
    </row>
    <row r="318" customFormat="false" ht="15" hidden="false" customHeight="false" outlineLevel="0" collapsed="false">
      <c r="F318" s="128"/>
    </row>
    <row r="319" customFormat="false" ht="15" hidden="false" customHeight="false" outlineLevel="0" collapsed="false">
      <c r="F319" s="128"/>
    </row>
    <row r="320" customFormat="false" ht="15" hidden="false" customHeight="false" outlineLevel="0" collapsed="false">
      <c r="F320" s="128"/>
    </row>
    <row r="321" customFormat="false" ht="15" hidden="false" customHeight="false" outlineLevel="0" collapsed="false">
      <c r="F321" s="128"/>
    </row>
    <row r="322" customFormat="false" ht="15" hidden="false" customHeight="false" outlineLevel="0" collapsed="false">
      <c r="F322" s="128"/>
    </row>
    <row r="323" customFormat="false" ht="15" hidden="false" customHeight="false" outlineLevel="0" collapsed="false">
      <c r="F323" s="128"/>
    </row>
    <row r="324" customFormat="false" ht="15" hidden="false" customHeight="false" outlineLevel="0" collapsed="false">
      <c r="F324" s="128"/>
    </row>
    <row r="325" customFormat="false" ht="15" hidden="false" customHeight="false" outlineLevel="0" collapsed="false">
      <c r="F325" s="128"/>
    </row>
    <row r="326" customFormat="false" ht="15" hidden="false" customHeight="false" outlineLevel="0" collapsed="false">
      <c r="F326" s="128"/>
    </row>
    <row r="327" customFormat="false" ht="15" hidden="false" customHeight="false" outlineLevel="0" collapsed="false">
      <c r="F327" s="128"/>
    </row>
    <row r="328" customFormat="false" ht="15" hidden="false" customHeight="false" outlineLevel="0" collapsed="false">
      <c r="F328" s="128"/>
    </row>
    <row r="329" customFormat="false" ht="15" hidden="false" customHeight="false" outlineLevel="0" collapsed="false">
      <c r="F329" s="128"/>
    </row>
    <row r="330" customFormat="false" ht="15" hidden="false" customHeight="false" outlineLevel="0" collapsed="false">
      <c r="F330" s="128"/>
    </row>
    <row r="331" customFormat="false" ht="15" hidden="false" customHeight="false" outlineLevel="0" collapsed="false">
      <c r="F331" s="128"/>
    </row>
    <row r="332" customFormat="false" ht="15" hidden="false" customHeight="false" outlineLevel="0" collapsed="false">
      <c r="F332" s="128"/>
    </row>
    <row r="333" customFormat="false" ht="15" hidden="false" customHeight="false" outlineLevel="0" collapsed="false">
      <c r="F333" s="128"/>
    </row>
    <row r="334" customFormat="false" ht="15" hidden="false" customHeight="false" outlineLevel="0" collapsed="false">
      <c r="F334" s="128"/>
    </row>
    <row r="335" customFormat="false" ht="15" hidden="false" customHeight="false" outlineLevel="0" collapsed="false">
      <c r="F335" s="128"/>
    </row>
    <row r="336" customFormat="false" ht="15" hidden="false" customHeight="false" outlineLevel="0" collapsed="false">
      <c r="F336" s="128"/>
    </row>
    <row r="337" customFormat="false" ht="15" hidden="false" customHeight="false" outlineLevel="0" collapsed="false">
      <c r="F337" s="128"/>
    </row>
    <row r="338" customFormat="false" ht="15" hidden="false" customHeight="false" outlineLevel="0" collapsed="false">
      <c r="F338" s="128"/>
    </row>
    <row r="339" customFormat="false" ht="15" hidden="false" customHeight="false" outlineLevel="0" collapsed="false">
      <c r="F339" s="128"/>
    </row>
    <row r="340" customFormat="false" ht="15" hidden="false" customHeight="false" outlineLevel="0" collapsed="false">
      <c r="F340" s="128"/>
    </row>
    <row r="341" customFormat="false" ht="15" hidden="false" customHeight="false" outlineLevel="0" collapsed="false">
      <c r="F341" s="128"/>
    </row>
    <row r="342" customFormat="false" ht="15" hidden="false" customHeight="false" outlineLevel="0" collapsed="false">
      <c r="F342" s="128"/>
    </row>
    <row r="343" customFormat="false" ht="15" hidden="false" customHeight="false" outlineLevel="0" collapsed="false">
      <c r="F343" s="128"/>
    </row>
    <row r="344" customFormat="false" ht="15" hidden="false" customHeight="false" outlineLevel="0" collapsed="false">
      <c r="F344" s="128"/>
    </row>
    <row r="345" customFormat="false" ht="15" hidden="false" customHeight="false" outlineLevel="0" collapsed="false">
      <c r="F345" s="128"/>
    </row>
    <row r="346" customFormat="false" ht="15" hidden="false" customHeight="false" outlineLevel="0" collapsed="false">
      <c r="F346" s="128"/>
    </row>
    <row r="347" customFormat="false" ht="15" hidden="false" customHeight="false" outlineLevel="0" collapsed="false">
      <c r="F347" s="128"/>
    </row>
    <row r="348" customFormat="false" ht="15" hidden="false" customHeight="false" outlineLevel="0" collapsed="false">
      <c r="F348" s="128"/>
    </row>
    <row r="349" customFormat="false" ht="15" hidden="false" customHeight="false" outlineLevel="0" collapsed="false">
      <c r="F349" s="128"/>
    </row>
    <row r="350" customFormat="false" ht="15" hidden="false" customHeight="false" outlineLevel="0" collapsed="false">
      <c r="F350" s="128"/>
    </row>
    <row r="351" customFormat="false" ht="15" hidden="false" customHeight="false" outlineLevel="0" collapsed="false">
      <c r="F351" s="128"/>
    </row>
    <row r="352" customFormat="false" ht="15" hidden="false" customHeight="false" outlineLevel="0" collapsed="false">
      <c r="F352" s="128"/>
    </row>
    <row r="353" customFormat="false" ht="15" hidden="false" customHeight="false" outlineLevel="0" collapsed="false">
      <c r="F353" s="128"/>
    </row>
    <row r="354" customFormat="false" ht="15" hidden="false" customHeight="false" outlineLevel="0" collapsed="false">
      <c r="F354" s="128"/>
    </row>
    <row r="355" customFormat="false" ht="15" hidden="false" customHeight="false" outlineLevel="0" collapsed="false">
      <c r="F355" s="128"/>
    </row>
    <row r="356" customFormat="false" ht="15" hidden="false" customHeight="false" outlineLevel="0" collapsed="false">
      <c r="F356" s="128"/>
    </row>
    <row r="357" customFormat="false" ht="15" hidden="false" customHeight="false" outlineLevel="0" collapsed="false">
      <c r="F357" s="128"/>
    </row>
    <row r="358" customFormat="false" ht="15" hidden="false" customHeight="false" outlineLevel="0" collapsed="false">
      <c r="F358" s="128"/>
    </row>
    <row r="359" customFormat="false" ht="15" hidden="false" customHeight="false" outlineLevel="0" collapsed="false">
      <c r="F359" s="128"/>
    </row>
    <row r="360" customFormat="false" ht="15" hidden="false" customHeight="false" outlineLevel="0" collapsed="false">
      <c r="F360" s="128"/>
    </row>
    <row r="361" customFormat="false" ht="15" hidden="false" customHeight="false" outlineLevel="0" collapsed="false">
      <c r="F361" s="128"/>
    </row>
    <row r="362" customFormat="false" ht="15" hidden="false" customHeight="false" outlineLevel="0" collapsed="false">
      <c r="F362" s="128"/>
    </row>
    <row r="363" customFormat="false" ht="15" hidden="false" customHeight="false" outlineLevel="0" collapsed="false">
      <c r="F363" s="128"/>
    </row>
    <row r="364" customFormat="false" ht="15" hidden="false" customHeight="false" outlineLevel="0" collapsed="false">
      <c r="F364" s="128"/>
    </row>
    <row r="365" customFormat="false" ht="15" hidden="false" customHeight="false" outlineLevel="0" collapsed="false">
      <c r="F365" s="128"/>
    </row>
    <row r="366" customFormat="false" ht="15" hidden="false" customHeight="false" outlineLevel="0" collapsed="false">
      <c r="F366" s="128"/>
    </row>
    <row r="367" customFormat="false" ht="15" hidden="false" customHeight="false" outlineLevel="0" collapsed="false">
      <c r="F367" s="128"/>
    </row>
    <row r="368" customFormat="false" ht="15" hidden="false" customHeight="false" outlineLevel="0" collapsed="false">
      <c r="F368" s="128"/>
    </row>
    <row r="369" customFormat="false" ht="15" hidden="false" customHeight="false" outlineLevel="0" collapsed="false">
      <c r="F369" s="128"/>
    </row>
    <row r="370" customFormat="false" ht="15" hidden="false" customHeight="false" outlineLevel="0" collapsed="false">
      <c r="F370" s="128"/>
    </row>
    <row r="371" customFormat="false" ht="15" hidden="false" customHeight="false" outlineLevel="0" collapsed="false">
      <c r="F371" s="128"/>
    </row>
    <row r="372" customFormat="false" ht="15" hidden="false" customHeight="false" outlineLevel="0" collapsed="false">
      <c r="F372" s="128"/>
    </row>
    <row r="373" customFormat="false" ht="15" hidden="false" customHeight="false" outlineLevel="0" collapsed="false">
      <c r="F373" s="128"/>
    </row>
    <row r="374" customFormat="false" ht="15" hidden="false" customHeight="false" outlineLevel="0" collapsed="false">
      <c r="F374" s="128"/>
    </row>
    <row r="375" customFormat="false" ht="15" hidden="false" customHeight="false" outlineLevel="0" collapsed="false">
      <c r="F375" s="128"/>
    </row>
    <row r="376" customFormat="false" ht="15" hidden="false" customHeight="false" outlineLevel="0" collapsed="false">
      <c r="F376" s="128"/>
    </row>
    <row r="377" customFormat="false" ht="15" hidden="false" customHeight="false" outlineLevel="0" collapsed="false">
      <c r="F377" s="128"/>
    </row>
    <row r="378" customFormat="false" ht="15" hidden="false" customHeight="false" outlineLevel="0" collapsed="false">
      <c r="F378" s="128"/>
    </row>
    <row r="379" customFormat="false" ht="15" hidden="false" customHeight="false" outlineLevel="0" collapsed="false">
      <c r="F379" s="128"/>
    </row>
    <row r="380" customFormat="false" ht="15" hidden="false" customHeight="false" outlineLevel="0" collapsed="false">
      <c r="F380" s="128"/>
    </row>
    <row r="381" customFormat="false" ht="15" hidden="false" customHeight="false" outlineLevel="0" collapsed="false">
      <c r="F381" s="128"/>
    </row>
    <row r="382" customFormat="false" ht="15" hidden="false" customHeight="false" outlineLevel="0" collapsed="false">
      <c r="F382" s="128"/>
    </row>
    <row r="383" customFormat="false" ht="15" hidden="false" customHeight="false" outlineLevel="0" collapsed="false">
      <c r="F383" s="128"/>
    </row>
    <row r="384" customFormat="false" ht="15" hidden="false" customHeight="false" outlineLevel="0" collapsed="false">
      <c r="F384" s="128"/>
    </row>
    <row r="385" customFormat="false" ht="15" hidden="false" customHeight="false" outlineLevel="0" collapsed="false">
      <c r="F385" s="128"/>
    </row>
    <row r="386" customFormat="false" ht="15" hidden="false" customHeight="false" outlineLevel="0" collapsed="false">
      <c r="F386" s="128"/>
    </row>
    <row r="387" customFormat="false" ht="15" hidden="false" customHeight="false" outlineLevel="0" collapsed="false">
      <c r="F387" s="128"/>
    </row>
    <row r="388" customFormat="false" ht="15" hidden="false" customHeight="false" outlineLevel="0" collapsed="false">
      <c r="F388" s="128"/>
    </row>
    <row r="389" customFormat="false" ht="15" hidden="false" customHeight="false" outlineLevel="0" collapsed="false">
      <c r="F389" s="128"/>
    </row>
    <row r="390" customFormat="false" ht="15" hidden="false" customHeight="false" outlineLevel="0" collapsed="false">
      <c r="F390" s="128"/>
    </row>
    <row r="391" customFormat="false" ht="15" hidden="false" customHeight="false" outlineLevel="0" collapsed="false">
      <c r="F391" s="128"/>
    </row>
    <row r="392" customFormat="false" ht="15" hidden="false" customHeight="false" outlineLevel="0" collapsed="false">
      <c r="F392" s="128"/>
    </row>
    <row r="393" customFormat="false" ht="15" hidden="false" customHeight="false" outlineLevel="0" collapsed="false">
      <c r="F393" s="128"/>
    </row>
    <row r="394" customFormat="false" ht="15" hidden="false" customHeight="false" outlineLevel="0" collapsed="false">
      <c r="F394" s="128"/>
    </row>
    <row r="395" customFormat="false" ht="15" hidden="false" customHeight="false" outlineLevel="0" collapsed="false">
      <c r="F395" s="128"/>
    </row>
    <row r="396" customFormat="false" ht="15" hidden="false" customHeight="false" outlineLevel="0" collapsed="false">
      <c r="F396" s="128"/>
    </row>
    <row r="397" customFormat="false" ht="15" hidden="false" customHeight="false" outlineLevel="0" collapsed="false">
      <c r="F397" s="128"/>
    </row>
    <row r="398" customFormat="false" ht="15" hidden="false" customHeight="false" outlineLevel="0" collapsed="false">
      <c r="F398" s="128"/>
    </row>
    <row r="399" customFormat="false" ht="15" hidden="false" customHeight="false" outlineLevel="0" collapsed="false">
      <c r="F399" s="128"/>
    </row>
    <row r="400" customFormat="false" ht="15" hidden="false" customHeight="false" outlineLevel="0" collapsed="false">
      <c r="F400" s="128"/>
    </row>
    <row r="401" customFormat="false" ht="15" hidden="false" customHeight="false" outlineLevel="0" collapsed="false">
      <c r="F401" s="128"/>
    </row>
    <row r="402" customFormat="false" ht="15" hidden="false" customHeight="false" outlineLevel="0" collapsed="false">
      <c r="F402" s="128"/>
    </row>
    <row r="403" customFormat="false" ht="15" hidden="false" customHeight="false" outlineLevel="0" collapsed="false">
      <c r="F403" s="128"/>
    </row>
    <row r="404" customFormat="false" ht="15" hidden="false" customHeight="false" outlineLevel="0" collapsed="false">
      <c r="F404" s="128"/>
    </row>
    <row r="405" customFormat="false" ht="15" hidden="false" customHeight="false" outlineLevel="0" collapsed="false">
      <c r="F405" s="128"/>
    </row>
    <row r="406" customFormat="false" ht="15" hidden="false" customHeight="false" outlineLevel="0" collapsed="false">
      <c r="F406" s="128"/>
    </row>
    <row r="407" customFormat="false" ht="15" hidden="false" customHeight="false" outlineLevel="0" collapsed="false">
      <c r="F407" s="128"/>
    </row>
    <row r="408" customFormat="false" ht="15" hidden="false" customHeight="false" outlineLevel="0" collapsed="false">
      <c r="F408" s="128"/>
    </row>
    <row r="409" customFormat="false" ht="15" hidden="false" customHeight="false" outlineLevel="0" collapsed="false">
      <c r="F409" s="128"/>
    </row>
    <row r="410" customFormat="false" ht="15" hidden="false" customHeight="false" outlineLevel="0" collapsed="false">
      <c r="F410" s="128"/>
    </row>
    <row r="411" customFormat="false" ht="15" hidden="false" customHeight="false" outlineLevel="0" collapsed="false">
      <c r="F411" s="128"/>
    </row>
    <row r="412" customFormat="false" ht="15" hidden="false" customHeight="false" outlineLevel="0" collapsed="false">
      <c r="F412" s="128"/>
    </row>
    <row r="413" customFormat="false" ht="15" hidden="false" customHeight="false" outlineLevel="0" collapsed="false">
      <c r="F413" s="128"/>
    </row>
    <row r="414" customFormat="false" ht="15" hidden="false" customHeight="false" outlineLevel="0" collapsed="false">
      <c r="F414" s="128"/>
    </row>
    <row r="415" customFormat="false" ht="15" hidden="false" customHeight="false" outlineLevel="0" collapsed="false">
      <c r="F415" s="128"/>
    </row>
    <row r="416" customFormat="false" ht="15" hidden="false" customHeight="false" outlineLevel="0" collapsed="false">
      <c r="F416" s="128"/>
    </row>
    <row r="417" customFormat="false" ht="15" hidden="false" customHeight="false" outlineLevel="0" collapsed="false">
      <c r="F417" s="128"/>
    </row>
    <row r="418" customFormat="false" ht="15" hidden="false" customHeight="false" outlineLevel="0" collapsed="false">
      <c r="F418" s="128"/>
    </row>
    <row r="419" customFormat="false" ht="15" hidden="false" customHeight="false" outlineLevel="0" collapsed="false">
      <c r="F419" s="128"/>
    </row>
    <row r="420" customFormat="false" ht="15" hidden="false" customHeight="false" outlineLevel="0" collapsed="false">
      <c r="F420" s="128"/>
    </row>
    <row r="421" customFormat="false" ht="15" hidden="false" customHeight="false" outlineLevel="0" collapsed="false">
      <c r="F421" s="128"/>
    </row>
    <row r="422" customFormat="false" ht="15" hidden="false" customHeight="false" outlineLevel="0" collapsed="false">
      <c r="F422" s="128"/>
    </row>
    <row r="423" customFormat="false" ht="15" hidden="false" customHeight="false" outlineLevel="0" collapsed="false">
      <c r="F423" s="128"/>
    </row>
    <row r="424" customFormat="false" ht="15" hidden="false" customHeight="false" outlineLevel="0" collapsed="false">
      <c r="F424" s="128"/>
    </row>
    <row r="425" customFormat="false" ht="15" hidden="false" customHeight="false" outlineLevel="0" collapsed="false">
      <c r="F425" s="128"/>
    </row>
    <row r="434" customFormat="false" ht="15" hidden="false" customHeight="false" outlineLevel="0" collapsed="false">
      <c r="F434" s="128"/>
    </row>
    <row r="435" customFormat="false" ht="15" hidden="false" customHeight="false" outlineLevel="0" collapsed="false">
      <c r="F435" s="128"/>
    </row>
    <row r="436" customFormat="false" ht="15" hidden="false" customHeight="false" outlineLevel="0" collapsed="false">
      <c r="F436" s="128"/>
    </row>
    <row r="437" customFormat="false" ht="15" hidden="false" customHeight="false" outlineLevel="0" collapsed="false">
      <c r="F437" s="128"/>
    </row>
    <row r="438" customFormat="false" ht="15" hidden="false" customHeight="false" outlineLevel="0" collapsed="false">
      <c r="F438" s="128"/>
    </row>
    <row r="439" customFormat="false" ht="15" hidden="false" customHeight="false" outlineLevel="0" collapsed="false">
      <c r="F439" s="128"/>
    </row>
    <row r="440" customFormat="false" ht="15" hidden="false" customHeight="false" outlineLevel="0" collapsed="false">
      <c r="F440" s="128"/>
    </row>
    <row r="441" customFormat="false" ht="15" hidden="false" customHeight="false" outlineLevel="0" collapsed="false">
      <c r="F441" s="128"/>
    </row>
    <row r="442" customFormat="false" ht="15" hidden="false" customHeight="false" outlineLevel="0" collapsed="false">
      <c r="F442" s="128"/>
    </row>
    <row r="443" customFormat="false" ht="15" hidden="false" customHeight="false" outlineLevel="0" collapsed="false">
      <c r="F443" s="128"/>
    </row>
    <row r="444" customFormat="false" ht="15" hidden="false" customHeight="false" outlineLevel="0" collapsed="false">
      <c r="F444" s="128"/>
    </row>
    <row r="445" customFormat="false" ht="15" hidden="false" customHeight="false" outlineLevel="0" collapsed="false">
      <c r="F445" s="128"/>
    </row>
    <row r="446" customFormat="false" ht="15" hidden="false" customHeight="false" outlineLevel="0" collapsed="false">
      <c r="F446" s="128"/>
    </row>
    <row r="447" customFormat="false" ht="15" hidden="false" customHeight="false" outlineLevel="0" collapsed="false">
      <c r="F447" s="128"/>
    </row>
    <row r="448" customFormat="false" ht="15" hidden="false" customHeight="false" outlineLevel="0" collapsed="false">
      <c r="F448" s="128"/>
    </row>
    <row r="449" customFormat="false" ht="15" hidden="false" customHeight="false" outlineLevel="0" collapsed="false">
      <c r="F449" s="128"/>
    </row>
    <row r="450" customFormat="false" ht="15" hidden="false" customHeight="false" outlineLevel="0" collapsed="false">
      <c r="F450" s="128"/>
    </row>
    <row r="451" customFormat="false" ht="15" hidden="false" customHeight="false" outlineLevel="0" collapsed="false">
      <c r="F451" s="128"/>
    </row>
    <row r="452" customFormat="false" ht="15" hidden="false" customHeight="false" outlineLevel="0" collapsed="false">
      <c r="F452" s="128"/>
    </row>
    <row r="453" customFormat="false" ht="15" hidden="false" customHeight="false" outlineLevel="0" collapsed="false">
      <c r="F453" s="128"/>
    </row>
    <row r="454" customFormat="false" ht="15" hidden="false" customHeight="false" outlineLevel="0" collapsed="false">
      <c r="F454" s="128"/>
    </row>
    <row r="455" customFormat="false" ht="15" hidden="false" customHeight="false" outlineLevel="0" collapsed="false">
      <c r="F455" s="128"/>
    </row>
    <row r="456" customFormat="false" ht="15" hidden="false" customHeight="false" outlineLevel="0" collapsed="false">
      <c r="F456" s="128"/>
    </row>
    <row r="457" customFormat="false" ht="15" hidden="false" customHeight="false" outlineLevel="0" collapsed="false">
      <c r="F457" s="128"/>
    </row>
    <row r="458" customFormat="false" ht="15" hidden="false" customHeight="false" outlineLevel="0" collapsed="false">
      <c r="F458" s="128"/>
    </row>
    <row r="459" customFormat="false" ht="15" hidden="false" customHeight="false" outlineLevel="0" collapsed="false">
      <c r="F459" s="128"/>
    </row>
    <row r="460" customFormat="false" ht="15" hidden="false" customHeight="false" outlineLevel="0" collapsed="false">
      <c r="F460" s="128"/>
    </row>
    <row r="461" customFormat="false" ht="15" hidden="false" customHeight="false" outlineLevel="0" collapsed="false">
      <c r="F461" s="128"/>
    </row>
    <row r="462" customFormat="false" ht="15" hidden="false" customHeight="false" outlineLevel="0" collapsed="false">
      <c r="F462" s="128"/>
    </row>
    <row r="463" customFormat="false" ht="15" hidden="false" customHeight="false" outlineLevel="0" collapsed="false">
      <c r="F463" s="128"/>
    </row>
    <row r="464" customFormat="false" ht="15" hidden="false" customHeight="false" outlineLevel="0" collapsed="false">
      <c r="F464" s="128"/>
    </row>
    <row r="465" customFormat="false" ht="15" hidden="false" customHeight="false" outlineLevel="0" collapsed="false">
      <c r="F465" s="128"/>
    </row>
    <row r="466" customFormat="false" ht="15" hidden="false" customHeight="false" outlineLevel="0" collapsed="false">
      <c r="F466" s="128"/>
    </row>
    <row r="467" customFormat="false" ht="15" hidden="false" customHeight="false" outlineLevel="0" collapsed="false">
      <c r="F467" s="128"/>
    </row>
    <row r="468" customFormat="false" ht="15" hidden="false" customHeight="false" outlineLevel="0" collapsed="false">
      <c r="F468" s="128"/>
    </row>
    <row r="469" customFormat="false" ht="15" hidden="false" customHeight="false" outlineLevel="0" collapsed="false">
      <c r="F469" s="128"/>
    </row>
    <row r="470" customFormat="false" ht="15" hidden="false" customHeight="false" outlineLevel="0" collapsed="false">
      <c r="F470" s="128"/>
    </row>
    <row r="471" customFormat="false" ht="15" hidden="false" customHeight="false" outlineLevel="0" collapsed="false">
      <c r="F471" s="128"/>
    </row>
    <row r="472" customFormat="false" ht="15" hidden="false" customHeight="false" outlineLevel="0" collapsed="false">
      <c r="F472" s="128"/>
    </row>
    <row r="473" customFormat="false" ht="15" hidden="false" customHeight="false" outlineLevel="0" collapsed="false">
      <c r="F473" s="128"/>
    </row>
    <row r="474" customFormat="false" ht="15" hidden="false" customHeight="false" outlineLevel="0" collapsed="false">
      <c r="F474" s="128"/>
    </row>
    <row r="475" customFormat="false" ht="15" hidden="false" customHeight="false" outlineLevel="0" collapsed="false">
      <c r="F475" s="128"/>
    </row>
    <row r="476" customFormat="false" ht="15" hidden="false" customHeight="false" outlineLevel="0" collapsed="false">
      <c r="F476" s="128"/>
    </row>
    <row r="477" customFormat="false" ht="15" hidden="false" customHeight="false" outlineLevel="0" collapsed="false">
      <c r="F477" s="128"/>
    </row>
    <row r="478" customFormat="false" ht="15" hidden="false" customHeight="false" outlineLevel="0" collapsed="false">
      <c r="F478" s="128"/>
    </row>
    <row r="479" customFormat="false" ht="15" hidden="false" customHeight="false" outlineLevel="0" collapsed="false">
      <c r="F479" s="128"/>
    </row>
    <row r="482" customFormat="false" ht="15" hidden="false" customHeight="false" outlineLevel="0" collapsed="false">
      <c r="F482" s="128"/>
    </row>
    <row r="483" customFormat="false" ht="15" hidden="false" customHeight="false" outlineLevel="0" collapsed="false">
      <c r="F483" s="128"/>
    </row>
    <row r="484" customFormat="false" ht="15" hidden="false" customHeight="false" outlineLevel="0" collapsed="false">
      <c r="F484" s="128"/>
    </row>
    <row r="485" customFormat="false" ht="15" hidden="false" customHeight="false" outlineLevel="0" collapsed="false">
      <c r="F485" s="128"/>
    </row>
    <row r="486" customFormat="false" ht="15" hidden="false" customHeight="false" outlineLevel="0" collapsed="false">
      <c r="F486" s="128"/>
    </row>
    <row r="487" customFormat="false" ht="15" hidden="false" customHeight="false" outlineLevel="0" collapsed="false">
      <c r="F487" s="128"/>
    </row>
    <row r="488" customFormat="false" ht="15" hidden="false" customHeight="false" outlineLevel="0" collapsed="false">
      <c r="F488" s="128"/>
    </row>
    <row r="489" customFormat="false" ht="15" hidden="false" customHeight="false" outlineLevel="0" collapsed="false">
      <c r="F489" s="128"/>
    </row>
    <row r="490" customFormat="false" ht="15" hidden="false" customHeight="false" outlineLevel="0" collapsed="false">
      <c r="F490" s="128"/>
    </row>
    <row r="491" customFormat="false" ht="15" hidden="false" customHeight="false" outlineLevel="0" collapsed="false">
      <c r="F491" s="128"/>
    </row>
    <row r="492" customFormat="false" ht="15" hidden="false" customHeight="false" outlineLevel="0" collapsed="false">
      <c r="F492" s="128"/>
    </row>
    <row r="493" customFormat="false" ht="15" hidden="false" customHeight="false" outlineLevel="0" collapsed="false">
      <c r="F493" s="128"/>
    </row>
    <row r="494" customFormat="false" ht="15" hidden="false" customHeight="false" outlineLevel="0" collapsed="false">
      <c r="F494" s="128"/>
    </row>
    <row r="495" customFormat="false" ht="15" hidden="false" customHeight="false" outlineLevel="0" collapsed="false">
      <c r="F495" s="128"/>
    </row>
    <row r="496" customFormat="false" ht="15" hidden="false" customHeight="false" outlineLevel="0" collapsed="false">
      <c r="F496" s="128"/>
    </row>
    <row r="497" customFormat="false" ht="15" hidden="false" customHeight="false" outlineLevel="0" collapsed="false">
      <c r="F497" s="128"/>
    </row>
    <row r="498" customFormat="false" ht="15" hidden="false" customHeight="false" outlineLevel="0" collapsed="false">
      <c r="F498" s="128"/>
    </row>
    <row r="499" customFormat="false" ht="15" hidden="false" customHeight="false" outlineLevel="0" collapsed="false">
      <c r="F499" s="128"/>
    </row>
    <row r="500" customFormat="false" ht="15" hidden="false" customHeight="false" outlineLevel="0" collapsed="false">
      <c r="F500" s="128"/>
    </row>
    <row r="501" customFormat="false" ht="15" hidden="false" customHeight="false" outlineLevel="0" collapsed="false">
      <c r="F501" s="128"/>
    </row>
    <row r="502" customFormat="false" ht="15" hidden="false" customHeight="false" outlineLevel="0" collapsed="false">
      <c r="F502" s="128"/>
    </row>
    <row r="503" customFormat="false" ht="15" hidden="false" customHeight="false" outlineLevel="0" collapsed="false">
      <c r="F503" s="128"/>
    </row>
    <row r="504" customFormat="false" ht="15" hidden="false" customHeight="false" outlineLevel="0" collapsed="false">
      <c r="F504" s="128"/>
    </row>
    <row r="505" customFormat="false" ht="15" hidden="false" customHeight="false" outlineLevel="0" collapsed="false">
      <c r="F505" s="128"/>
    </row>
    <row r="506" customFormat="false" ht="15" hidden="false" customHeight="false" outlineLevel="0" collapsed="false">
      <c r="F506" s="128"/>
    </row>
    <row r="507" customFormat="false" ht="15" hidden="false" customHeight="false" outlineLevel="0" collapsed="false">
      <c r="F507" s="128"/>
    </row>
    <row r="508" customFormat="false" ht="15" hidden="false" customHeight="false" outlineLevel="0" collapsed="false">
      <c r="F508" s="128"/>
    </row>
    <row r="509" customFormat="false" ht="15" hidden="false" customHeight="false" outlineLevel="0" collapsed="false">
      <c r="F509" s="128"/>
    </row>
    <row r="510" customFormat="false" ht="15" hidden="false" customHeight="false" outlineLevel="0" collapsed="false">
      <c r="F510" s="128"/>
    </row>
    <row r="511" customFormat="false" ht="15" hidden="false" customHeight="false" outlineLevel="0" collapsed="false">
      <c r="F511" s="128"/>
    </row>
    <row r="512" customFormat="false" ht="15" hidden="false" customHeight="false" outlineLevel="0" collapsed="false">
      <c r="F512" s="128"/>
    </row>
    <row r="513" customFormat="false" ht="15" hidden="false" customHeight="false" outlineLevel="0" collapsed="false">
      <c r="F513" s="128"/>
    </row>
    <row r="514" customFormat="false" ht="15" hidden="false" customHeight="false" outlineLevel="0" collapsed="false">
      <c r="F514" s="128"/>
    </row>
    <row r="515" customFormat="false" ht="15" hidden="false" customHeight="false" outlineLevel="0" collapsed="false">
      <c r="F515" s="128"/>
    </row>
    <row r="516" customFormat="false" ht="15" hidden="false" customHeight="false" outlineLevel="0" collapsed="false">
      <c r="F516" s="128"/>
    </row>
    <row r="517" customFormat="false" ht="15" hidden="false" customHeight="false" outlineLevel="0" collapsed="false">
      <c r="F517" s="128"/>
    </row>
    <row r="518" customFormat="false" ht="15" hidden="false" customHeight="false" outlineLevel="0" collapsed="false">
      <c r="F518" s="128"/>
    </row>
    <row r="519" customFormat="false" ht="15" hidden="false" customHeight="false" outlineLevel="0" collapsed="false">
      <c r="F519" s="128"/>
    </row>
    <row r="520" customFormat="false" ht="15" hidden="false" customHeight="false" outlineLevel="0" collapsed="false">
      <c r="F520" s="128"/>
    </row>
    <row r="521" customFormat="false" ht="15" hidden="false" customHeight="false" outlineLevel="0" collapsed="false">
      <c r="F521" s="128"/>
    </row>
    <row r="522" customFormat="false" ht="15" hidden="false" customHeight="false" outlineLevel="0" collapsed="false">
      <c r="F522" s="128"/>
    </row>
    <row r="523" customFormat="false" ht="15" hidden="false" customHeight="false" outlineLevel="0" collapsed="false">
      <c r="F523" s="128"/>
    </row>
    <row r="524" customFormat="false" ht="15" hidden="false" customHeight="false" outlineLevel="0" collapsed="false">
      <c r="F524" s="128"/>
    </row>
    <row r="525" customFormat="false" ht="15" hidden="false" customHeight="false" outlineLevel="0" collapsed="false">
      <c r="F525" s="128"/>
    </row>
    <row r="526" customFormat="false" ht="15" hidden="false" customHeight="false" outlineLevel="0" collapsed="false">
      <c r="F526" s="128"/>
    </row>
    <row r="527" customFormat="false" ht="15" hidden="false" customHeight="false" outlineLevel="0" collapsed="false">
      <c r="F527" s="128"/>
    </row>
    <row r="528" customFormat="false" ht="15" hidden="false" customHeight="false" outlineLevel="0" collapsed="false">
      <c r="F528" s="128"/>
    </row>
    <row r="529" customFormat="false" ht="15" hidden="false" customHeight="false" outlineLevel="0" collapsed="false">
      <c r="F529" s="128"/>
    </row>
    <row r="530" customFormat="false" ht="15" hidden="false" customHeight="false" outlineLevel="0" collapsed="false">
      <c r="F530" s="128"/>
    </row>
    <row r="531" customFormat="false" ht="15" hidden="false" customHeight="false" outlineLevel="0" collapsed="false">
      <c r="F531" s="128"/>
    </row>
    <row r="532" customFormat="false" ht="15" hidden="false" customHeight="false" outlineLevel="0" collapsed="false">
      <c r="F532" s="128"/>
    </row>
    <row r="533" customFormat="false" ht="15" hidden="false" customHeight="false" outlineLevel="0" collapsed="false">
      <c r="F533" s="128"/>
    </row>
    <row r="534" customFormat="false" ht="15" hidden="false" customHeight="false" outlineLevel="0" collapsed="false">
      <c r="F534" s="128"/>
    </row>
    <row r="535" customFormat="false" ht="15" hidden="false" customHeight="false" outlineLevel="0" collapsed="false">
      <c r="F535" s="128"/>
    </row>
    <row r="536" customFormat="false" ht="15" hidden="false" customHeight="false" outlineLevel="0" collapsed="false">
      <c r="F536" s="128"/>
    </row>
    <row r="537" customFormat="false" ht="15" hidden="false" customHeight="false" outlineLevel="0" collapsed="false">
      <c r="F537" s="128"/>
    </row>
    <row r="538" customFormat="false" ht="15" hidden="false" customHeight="false" outlineLevel="0" collapsed="false">
      <c r="F538" s="128"/>
    </row>
    <row r="539" customFormat="false" ht="15" hidden="false" customHeight="false" outlineLevel="0" collapsed="false">
      <c r="F539" s="128"/>
    </row>
    <row r="540" customFormat="false" ht="15" hidden="false" customHeight="false" outlineLevel="0" collapsed="false">
      <c r="F540" s="128"/>
    </row>
    <row r="541" customFormat="false" ht="15" hidden="false" customHeight="false" outlineLevel="0" collapsed="false">
      <c r="F541" s="128"/>
    </row>
    <row r="542" customFormat="false" ht="15" hidden="false" customHeight="false" outlineLevel="0" collapsed="false">
      <c r="F542" s="128"/>
    </row>
    <row r="543" customFormat="false" ht="15" hidden="false" customHeight="false" outlineLevel="0" collapsed="false">
      <c r="F543" s="128"/>
    </row>
    <row r="544" customFormat="false" ht="15" hidden="false" customHeight="false" outlineLevel="0" collapsed="false">
      <c r="F544" s="128"/>
    </row>
    <row r="545" customFormat="false" ht="15" hidden="false" customHeight="false" outlineLevel="0" collapsed="false">
      <c r="F545" s="128"/>
    </row>
    <row r="546" customFormat="false" ht="15" hidden="false" customHeight="false" outlineLevel="0" collapsed="false">
      <c r="F546" s="128"/>
    </row>
    <row r="547" customFormat="false" ht="15" hidden="false" customHeight="false" outlineLevel="0" collapsed="false">
      <c r="F547" s="128"/>
    </row>
    <row r="548" customFormat="false" ht="15" hidden="false" customHeight="false" outlineLevel="0" collapsed="false">
      <c r="F548" s="128"/>
    </row>
    <row r="549" customFormat="false" ht="15" hidden="false" customHeight="false" outlineLevel="0" collapsed="false">
      <c r="F549" s="128"/>
    </row>
    <row r="550" customFormat="false" ht="15" hidden="false" customHeight="false" outlineLevel="0" collapsed="false">
      <c r="F550" s="128"/>
    </row>
    <row r="551" customFormat="false" ht="15" hidden="false" customHeight="false" outlineLevel="0" collapsed="false">
      <c r="F551" s="128"/>
    </row>
    <row r="552" customFormat="false" ht="15" hidden="false" customHeight="false" outlineLevel="0" collapsed="false">
      <c r="F552" s="128"/>
    </row>
    <row r="553" customFormat="false" ht="15" hidden="false" customHeight="false" outlineLevel="0" collapsed="false">
      <c r="F553" s="128"/>
    </row>
    <row r="554" customFormat="false" ht="15" hidden="false" customHeight="false" outlineLevel="0" collapsed="false">
      <c r="F554" s="128"/>
    </row>
    <row r="555" customFormat="false" ht="15" hidden="false" customHeight="false" outlineLevel="0" collapsed="false">
      <c r="F555" s="128"/>
    </row>
    <row r="556" customFormat="false" ht="15" hidden="false" customHeight="false" outlineLevel="0" collapsed="false">
      <c r="F556" s="128"/>
    </row>
    <row r="557" customFormat="false" ht="15" hidden="false" customHeight="false" outlineLevel="0" collapsed="false">
      <c r="F557" s="128"/>
    </row>
    <row r="558" customFormat="false" ht="15" hidden="false" customHeight="false" outlineLevel="0" collapsed="false">
      <c r="F558" s="128"/>
    </row>
    <row r="559" customFormat="false" ht="15" hidden="false" customHeight="false" outlineLevel="0" collapsed="false">
      <c r="F559" s="128"/>
    </row>
    <row r="560" customFormat="false" ht="15" hidden="false" customHeight="false" outlineLevel="0" collapsed="false">
      <c r="F560" s="128"/>
    </row>
    <row r="561" customFormat="false" ht="15" hidden="false" customHeight="false" outlineLevel="0" collapsed="false">
      <c r="F561" s="128"/>
    </row>
    <row r="562" customFormat="false" ht="15" hidden="false" customHeight="false" outlineLevel="0" collapsed="false">
      <c r="F562" s="128"/>
    </row>
    <row r="563" customFormat="false" ht="15" hidden="false" customHeight="false" outlineLevel="0" collapsed="false">
      <c r="F563" s="128"/>
    </row>
    <row r="564" customFormat="false" ht="15" hidden="false" customHeight="false" outlineLevel="0" collapsed="false">
      <c r="F564" s="128"/>
    </row>
    <row r="565" customFormat="false" ht="15" hidden="false" customHeight="false" outlineLevel="0" collapsed="false">
      <c r="F565" s="128"/>
    </row>
    <row r="566" customFormat="false" ht="15" hidden="false" customHeight="false" outlineLevel="0" collapsed="false">
      <c r="F566" s="128"/>
    </row>
    <row r="567" customFormat="false" ht="15" hidden="false" customHeight="false" outlineLevel="0" collapsed="false">
      <c r="F567" s="128"/>
    </row>
    <row r="568" customFormat="false" ht="15" hidden="false" customHeight="false" outlineLevel="0" collapsed="false">
      <c r="F568" s="128"/>
    </row>
    <row r="569" customFormat="false" ht="15" hidden="false" customHeight="false" outlineLevel="0" collapsed="false">
      <c r="F569" s="128"/>
    </row>
    <row r="570" customFormat="false" ht="15" hidden="false" customHeight="false" outlineLevel="0" collapsed="false">
      <c r="F570" s="128"/>
    </row>
    <row r="571" customFormat="false" ht="15" hidden="false" customHeight="false" outlineLevel="0" collapsed="false">
      <c r="F571" s="128"/>
    </row>
    <row r="572" customFormat="false" ht="15" hidden="false" customHeight="false" outlineLevel="0" collapsed="false">
      <c r="F572" s="128"/>
    </row>
    <row r="573" customFormat="false" ht="15" hidden="false" customHeight="false" outlineLevel="0" collapsed="false">
      <c r="F573" s="128"/>
    </row>
    <row r="574" customFormat="false" ht="15" hidden="false" customHeight="false" outlineLevel="0" collapsed="false">
      <c r="F574" s="128"/>
    </row>
    <row r="575" customFormat="false" ht="15" hidden="false" customHeight="false" outlineLevel="0" collapsed="false">
      <c r="F575" s="128"/>
    </row>
    <row r="576" customFormat="false" ht="15" hidden="false" customHeight="false" outlineLevel="0" collapsed="false">
      <c r="F576" s="128"/>
    </row>
    <row r="577" customFormat="false" ht="15" hidden="false" customHeight="false" outlineLevel="0" collapsed="false">
      <c r="F577" s="128"/>
    </row>
    <row r="578" customFormat="false" ht="15" hidden="false" customHeight="false" outlineLevel="0" collapsed="false">
      <c r="F578" s="128"/>
    </row>
    <row r="579" customFormat="false" ht="15" hidden="false" customHeight="false" outlineLevel="0" collapsed="false">
      <c r="F579" s="128"/>
    </row>
    <row r="580" customFormat="false" ht="15" hidden="false" customHeight="false" outlineLevel="0" collapsed="false">
      <c r="F580" s="128"/>
    </row>
    <row r="581" customFormat="false" ht="15" hidden="false" customHeight="false" outlineLevel="0" collapsed="false">
      <c r="F581" s="128"/>
    </row>
    <row r="582" customFormat="false" ht="15" hidden="false" customHeight="false" outlineLevel="0" collapsed="false">
      <c r="F582" s="128"/>
    </row>
    <row r="583" customFormat="false" ht="15" hidden="false" customHeight="false" outlineLevel="0" collapsed="false">
      <c r="F583" s="128"/>
    </row>
    <row r="584" customFormat="false" ht="15" hidden="false" customHeight="false" outlineLevel="0" collapsed="false">
      <c r="F584" s="128"/>
    </row>
    <row r="622" customFormat="false" ht="15" hidden="false" customHeight="false" outlineLevel="0" collapsed="false">
      <c r="F622" s="128"/>
    </row>
    <row r="623" customFormat="false" ht="15" hidden="false" customHeight="false" outlineLevel="0" collapsed="false">
      <c r="F623" s="128"/>
    </row>
    <row r="624" customFormat="false" ht="15" hidden="false" customHeight="false" outlineLevel="0" collapsed="false">
      <c r="F624" s="128"/>
    </row>
    <row r="625" customFormat="false" ht="15" hidden="false" customHeight="false" outlineLevel="0" collapsed="false">
      <c r="F625" s="128"/>
    </row>
    <row r="626" customFormat="false" ht="15" hidden="false" customHeight="false" outlineLevel="0" collapsed="false">
      <c r="F626" s="128"/>
    </row>
    <row r="627" customFormat="false" ht="15" hidden="false" customHeight="false" outlineLevel="0" collapsed="false">
      <c r="F627" s="128"/>
    </row>
    <row r="628" customFormat="false" ht="15" hidden="false" customHeight="false" outlineLevel="0" collapsed="false">
      <c r="F628" s="128"/>
    </row>
    <row r="629" customFormat="false" ht="15" hidden="false" customHeight="false" outlineLevel="0" collapsed="false">
      <c r="F629" s="128"/>
    </row>
    <row r="630" customFormat="false" ht="15" hidden="false" customHeight="false" outlineLevel="0" collapsed="false">
      <c r="F630" s="128"/>
    </row>
    <row r="631" customFormat="false" ht="15" hidden="false" customHeight="false" outlineLevel="0" collapsed="false">
      <c r="F631" s="128"/>
    </row>
    <row r="632" customFormat="false" ht="15" hidden="false" customHeight="false" outlineLevel="0" collapsed="false">
      <c r="F632" s="128"/>
    </row>
    <row r="633" customFormat="false" ht="15" hidden="false" customHeight="false" outlineLevel="0" collapsed="false">
      <c r="F633" s="128"/>
    </row>
    <row r="634" customFormat="false" ht="15" hidden="false" customHeight="false" outlineLevel="0" collapsed="false">
      <c r="F634" s="128"/>
    </row>
    <row r="635" customFormat="false" ht="15" hidden="false" customHeight="false" outlineLevel="0" collapsed="false">
      <c r="F635" s="128"/>
    </row>
    <row r="636" customFormat="false" ht="15" hidden="false" customHeight="false" outlineLevel="0" collapsed="false">
      <c r="F636" s="128"/>
    </row>
    <row r="637" customFormat="false" ht="15" hidden="false" customHeight="false" outlineLevel="0" collapsed="false">
      <c r="F637" s="128"/>
    </row>
    <row r="638" customFormat="false" ht="15" hidden="false" customHeight="false" outlineLevel="0" collapsed="false">
      <c r="F638" s="128"/>
    </row>
    <row r="639" customFormat="false" ht="15" hidden="false" customHeight="false" outlineLevel="0" collapsed="false">
      <c r="F639" s="128"/>
    </row>
    <row r="640" customFormat="false" ht="15" hidden="false" customHeight="false" outlineLevel="0" collapsed="false">
      <c r="F640" s="128"/>
    </row>
    <row r="641" customFormat="false" ht="15" hidden="false" customHeight="false" outlineLevel="0" collapsed="false">
      <c r="F641" s="128"/>
    </row>
    <row r="642" customFormat="false" ht="15" hidden="false" customHeight="false" outlineLevel="0" collapsed="false">
      <c r="F642" s="128"/>
    </row>
    <row r="643" customFormat="false" ht="15" hidden="false" customHeight="false" outlineLevel="0" collapsed="false">
      <c r="F643" s="128"/>
    </row>
    <row r="644" customFormat="false" ht="15" hidden="false" customHeight="false" outlineLevel="0" collapsed="false">
      <c r="F644" s="128"/>
    </row>
    <row r="645" customFormat="false" ht="15" hidden="false" customHeight="false" outlineLevel="0" collapsed="false">
      <c r="F645" s="128"/>
    </row>
    <row r="646" customFormat="false" ht="15" hidden="false" customHeight="false" outlineLevel="0" collapsed="false">
      <c r="F646" s="128"/>
    </row>
    <row r="647" customFormat="false" ht="15" hidden="false" customHeight="false" outlineLevel="0" collapsed="false">
      <c r="F647" s="128"/>
    </row>
    <row r="648" customFormat="false" ht="15" hidden="false" customHeight="false" outlineLevel="0" collapsed="false">
      <c r="F648" s="128"/>
    </row>
    <row r="649" customFormat="false" ht="15" hidden="false" customHeight="false" outlineLevel="0" collapsed="false">
      <c r="F649" s="128"/>
    </row>
    <row r="650" customFormat="false" ht="15" hidden="false" customHeight="false" outlineLevel="0" collapsed="false">
      <c r="F650" s="128"/>
    </row>
    <row r="651" customFormat="false" ht="15" hidden="false" customHeight="false" outlineLevel="0" collapsed="false">
      <c r="F651" s="128"/>
    </row>
    <row r="652" customFormat="false" ht="15" hidden="false" customHeight="false" outlineLevel="0" collapsed="false">
      <c r="F652" s="128"/>
    </row>
    <row r="653" customFormat="false" ht="15" hidden="false" customHeight="false" outlineLevel="0" collapsed="false">
      <c r="F653" s="128"/>
    </row>
    <row r="654" customFormat="false" ht="15" hidden="false" customHeight="false" outlineLevel="0" collapsed="false">
      <c r="F654" s="128"/>
    </row>
    <row r="655" customFormat="false" ht="15" hidden="false" customHeight="false" outlineLevel="0" collapsed="false">
      <c r="F655" s="128"/>
    </row>
    <row r="656" customFormat="false" ht="15" hidden="false" customHeight="false" outlineLevel="0" collapsed="false">
      <c r="F656" s="128"/>
    </row>
    <row r="657" customFormat="false" ht="15" hidden="false" customHeight="false" outlineLevel="0" collapsed="false">
      <c r="F657" s="128"/>
    </row>
    <row r="658" customFormat="false" ht="15" hidden="false" customHeight="false" outlineLevel="0" collapsed="false">
      <c r="F658" s="128"/>
    </row>
    <row r="659" customFormat="false" ht="15" hidden="false" customHeight="false" outlineLevel="0" collapsed="false">
      <c r="F659" s="128"/>
    </row>
    <row r="660" customFormat="false" ht="15" hidden="false" customHeight="false" outlineLevel="0" collapsed="false">
      <c r="F660" s="128"/>
    </row>
    <row r="661" customFormat="false" ht="15" hidden="false" customHeight="false" outlineLevel="0" collapsed="false">
      <c r="F661" s="128"/>
    </row>
    <row r="662" customFormat="false" ht="15" hidden="false" customHeight="false" outlineLevel="0" collapsed="false">
      <c r="F662" s="128"/>
    </row>
    <row r="663" customFormat="false" ht="15" hidden="false" customHeight="false" outlineLevel="0" collapsed="false">
      <c r="F663" s="128"/>
    </row>
    <row r="664" customFormat="false" ht="15" hidden="false" customHeight="false" outlineLevel="0" collapsed="false">
      <c r="F664" s="128"/>
    </row>
    <row r="665" customFormat="false" ht="15" hidden="false" customHeight="false" outlineLevel="0" collapsed="false">
      <c r="F665" s="128"/>
    </row>
    <row r="666" customFormat="false" ht="15" hidden="false" customHeight="false" outlineLevel="0" collapsed="false">
      <c r="F666" s="128"/>
    </row>
    <row r="667" customFormat="false" ht="15" hidden="false" customHeight="false" outlineLevel="0" collapsed="false">
      <c r="F667" s="128"/>
    </row>
    <row r="668" customFormat="false" ht="15" hidden="false" customHeight="false" outlineLevel="0" collapsed="false">
      <c r="F668" s="128"/>
    </row>
    <row r="669" customFormat="false" ht="15" hidden="false" customHeight="false" outlineLevel="0" collapsed="false">
      <c r="F669" s="128"/>
    </row>
    <row r="670" customFormat="false" ht="15" hidden="false" customHeight="false" outlineLevel="0" collapsed="false">
      <c r="F670" s="128"/>
    </row>
    <row r="671" customFormat="false" ht="15" hidden="false" customHeight="false" outlineLevel="0" collapsed="false">
      <c r="F671" s="128"/>
    </row>
    <row r="672" customFormat="false" ht="15" hidden="false" customHeight="false" outlineLevel="0" collapsed="false">
      <c r="F672" s="128"/>
    </row>
    <row r="673" customFormat="false" ht="15" hidden="false" customHeight="false" outlineLevel="0" collapsed="false">
      <c r="F673" s="128"/>
    </row>
    <row r="674" customFormat="false" ht="15" hidden="false" customHeight="false" outlineLevel="0" collapsed="false">
      <c r="F674" s="128"/>
    </row>
    <row r="675" customFormat="false" ht="15" hidden="false" customHeight="false" outlineLevel="0" collapsed="false">
      <c r="F675" s="128"/>
    </row>
    <row r="676" customFormat="false" ht="15" hidden="false" customHeight="false" outlineLevel="0" collapsed="false">
      <c r="F676" s="128"/>
    </row>
    <row r="677" customFormat="false" ht="15" hidden="false" customHeight="false" outlineLevel="0" collapsed="false">
      <c r="F677" s="128"/>
    </row>
    <row r="678" customFormat="false" ht="15" hidden="false" customHeight="false" outlineLevel="0" collapsed="false">
      <c r="F678" s="128"/>
    </row>
    <row r="679" customFormat="false" ht="15" hidden="false" customHeight="false" outlineLevel="0" collapsed="false">
      <c r="F679" s="128"/>
    </row>
    <row r="680" customFormat="false" ht="15" hidden="false" customHeight="false" outlineLevel="0" collapsed="false">
      <c r="F680" s="128"/>
    </row>
    <row r="681" customFormat="false" ht="15" hidden="false" customHeight="false" outlineLevel="0" collapsed="false">
      <c r="F681" s="128"/>
    </row>
    <row r="682" customFormat="false" ht="15" hidden="false" customHeight="false" outlineLevel="0" collapsed="false">
      <c r="F682" s="128"/>
    </row>
    <row r="683" customFormat="false" ht="15" hidden="false" customHeight="false" outlineLevel="0" collapsed="false">
      <c r="F683" s="128"/>
    </row>
    <row r="684" customFormat="false" ht="15" hidden="false" customHeight="false" outlineLevel="0" collapsed="false">
      <c r="F684" s="128"/>
    </row>
    <row r="685" customFormat="false" ht="15" hidden="false" customHeight="false" outlineLevel="0" collapsed="false">
      <c r="F685" s="128"/>
    </row>
    <row r="686" customFormat="false" ht="15" hidden="false" customHeight="false" outlineLevel="0" collapsed="false">
      <c r="F686" s="128"/>
    </row>
    <row r="687" customFormat="false" ht="15" hidden="false" customHeight="false" outlineLevel="0" collapsed="false">
      <c r="F687" s="128"/>
    </row>
    <row r="688" customFormat="false" ht="15" hidden="false" customHeight="false" outlineLevel="0" collapsed="false">
      <c r="F688" s="128"/>
    </row>
    <row r="689" customFormat="false" ht="15" hidden="false" customHeight="false" outlineLevel="0" collapsed="false">
      <c r="F689" s="128"/>
    </row>
    <row r="690" customFormat="false" ht="15" hidden="false" customHeight="false" outlineLevel="0" collapsed="false">
      <c r="F690" s="128"/>
    </row>
    <row r="691" customFormat="false" ht="15" hidden="false" customHeight="false" outlineLevel="0" collapsed="false">
      <c r="F691" s="128"/>
    </row>
    <row r="692" customFormat="false" ht="15" hidden="false" customHeight="false" outlineLevel="0" collapsed="false">
      <c r="F692" s="128"/>
    </row>
    <row r="693" customFormat="false" ht="15" hidden="false" customHeight="false" outlineLevel="0" collapsed="false">
      <c r="F693" s="128"/>
    </row>
    <row r="694" customFormat="false" ht="15" hidden="false" customHeight="false" outlineLevel="0" collapsed="false">
      <c r="F694" s="128"/>
    </row>
    <row r="695" customFormat="false" ht="15" hidden="false" customHeight="false" outlineLevel="0" collapsed="false">
      <c r="F695" s="128"/>
    </row>
    <row r="696" customFormat="false" ht="15" hidden="false" customHeight="false" outlineLevel="0" collapsed="false">
      <c r="F696" s="128"/>
    </row>
    <row r="697" customFormat="false" ht="15" hidden="false" customHeight="false" outlineLevel="0" collapsed="false">
      <c r="F697" s="128"/>
    </row>
    <row r="698" customFormat="false" ht="15" hidden="false" customHeight="false" outlineLevel="0" collapsed="false">
      <c r="F698" s="128"/>
    </row>
    <row r="699" customFormat="false" ht="15" hidden="false" customHeight="false" outlineLevel="0" collapsed="false">
      <c r="F699" s="128"/>
    </row>
    <row r="700" customFormat="false" ht="15" hidden="false" customHeight="false" outlineLevel="0" collapsed="false">
      <c r="F700" s="128"/>
    </row>
    <row r="701" customFormat="false" ht="15" hidden="false" customHeight="false" outlineLevel="0" collapsed="false">
      <c r="F701" s="128"/>
    </row>
    <row r="702" customFormat="false" ht="15" hidden="false" customHeight="false" outlineLevel="0" collapsed="false">
      <c r="F702" s="128"/>
    </row>
    <row r="703" customFormat="false" ht="15" hidden="false" customHeight="false" outlineLevel="0" collapsed="false">
      <c r="F703" s="128"/>
    </row>
    <row r="704" customFormat="false" ht="15" hidden="false" customHeight="false" outlineLevel="0" collapsed="false">
      <c r="F704" s="128"/>
    </row>
    <row r="705" customFormat="false" ht="15" hidden="false" customHeight="false" outlineLevel="0" collapsed="false">
      <c r="F705" s="128"/>
    </row>
    <row r="706" customFormat="false" ht="15" hidden="false" customHeight="false" outlineLevel="0" collapsed="false">
      <c r="F706" s="128"/>
    </row>
    <row r="707" customFormat="false" ht="15" hidden="false" customHeight="false" outlineLevel="0" collapsed="false">
      <c r="F707" s="128"/>
    </row>
    <row r="708" customFormat="false" ht="15" hidden="false" customHeight="false" outlineLevel="0" collapsed="false">
      <c r="F708" s="128"/>
    </row>
    <row r="709" customFormat="false" ht="15" hidden="false" customHeight="false" outlineLevel="0" collapsed="false">
      <c r="F709" s="128"/>
    </row>
    <row r="710" customFormat="false" ht="15" hidden="false" customHeight="false" outlineLevel="0" collapsed="false">
      <c r="F710" s="128"/>
    </row>
    <row r="711" customFormat="false" ht="15" hidden="false" customHeight="false" outlineLevel="0" collapsed="false">
      <c r="F711" s="128"/>
    </row>
    <row r="712" customFormat="false" ht="15" hidden="false" customHeight="false" outlineLevel="0" collapsed="false">
      <c r="F712" s="128"/>
    </row>
    <row r="713" customFormat="false" ht="15" hidden="false" customHeight="false" outlineLevel="0" collapsed="false">
      <c r="F713" s="128"/>
    </row>
    <row r="714" customFormat="false" ht="15" hidden="false" customHeight="false" outlineLevel="0" collapsed="false">
      <c r="F714" s="128"/>
    </row>
    <row r="716" customFormat="false" ht="15" hidden="false" customHeight="false" outlineLevel="0" collapsed="false">
      <c r="F716" s="128"/>
    </row>
    <row r="717" customFormat="false" ht="15" hidden="false" customHeight="false" outlineLevel="0" collapsed="false">
      <c r="F717" s="128"/>
    </row>
    <row r="718" customFormat="false" ht="15" hidden="false" customHeight="false" outlineLevel="0" collapsed="false">
      <c r="F718" s="128"/>
    </row>
    <row r="719" customFormat="false" ht="15" hidden="false" customHeight="false" outlineLevel="0" collapsed="false">
      <c r="F719" s="128"/>
    </row>
    <row r="720" customFormat="false" ht="15" hidden="false" customHeight="false" outlineLevel="0" collapsed="false">
      <c r="F720" s="128"/>
    </row>
    <row r="721" customFormat="false" ht="15" hidden="false" customHeight="false" outlineLevel="0" collapsed="false">
      <c r="F721" s="128"/>
    </row>
    <row r="722" customFormat="false" ht="15" hidden="false" customHeight="false" outlineLevel="0" collapsed="false">
      <c r="F722" s="128"/>
    </row>
    <row r="723" customFormat="false" ht="15" hidden="false" customHeight="false" outlineLevel="0" collapsed="false">
      <c r="F723" s="128"/>
    </row>
    <row r="724" customFormat="false" ht="15" hidden="false" customHeight="false" outlineLevel="0" collapsed="false">
      <c r="F724" s="128"/>
    </row>
    <row r="725" customFormat="false" ht="15" hidden="false" customHeight="false" outlineLevel="0" collapsed="false">
      <c r="F725" s="128"/>
    </row>
    <row r="726" customFormat="false" ht="15" hidden="false" customHeight="false" outlineLevel="0" collapsed="false">
      <c r="F726" s="128"/>
    </row>
    <row r="727" customFormat="false" ht="15" hidden="false" customHeight="false" outlineLevel="0" collapsed="false">
      <c r="F727" s="128"/>
    </row>
    <row r="728" customFormat="false" ht="15" hidden="false" customHeight="false" outlineLevel="0" collapsed="false">
      <c r="F728" s="128"/>
    </row>
    <row r="729" customFormat="false" ht="15" hidden="false" customHeight="false" outlineLevel="0" collapsed="false">
      <c r="F729" s="128"/>
    </row>
    <row r="730" customFormat="false" ht="15" hidden="false" customHeight="false" outlineLevel="0" collapsed="false">
      <c r="F730" s="128"/>
    </row>
    <row r="731" customFormat="false" ht="15" hidden="false" customHeight="false" outlineLevel="0" collapsed="false">
      <c r="F731" s="128"/>
    </row>
    <row r="732" customFormat="false" ht="15" hidden="false" customHeight="false" outlineLevel="0" collapsed="false">
      <c r="F732" s="128"/>
    </row>
    <row r="733" customFormat="false" ht="15" hidden="false" customHeight="false" outlineLevel="0" collapsed="false">
      <c r="F733" s="128"/>
    </row>
    <row r="734" customFormat="false" ht="15" hidden="false" customHeight="false" outlineLevel="0" collapsed="false">
      <c r="F734" s="128"/>
    </row>
    <row r="735" customFormat="false" ht="15" hidden="false" customHeight="false" outlineLevel="0" collapsed="false">
      <c r="F735" s="128"/>
    </row>
    <row r="736" customFormat="false" ht="15" hidden="false" customHeight="false" outlineLevel="0" collapsed="false">
      <c r="F736" s="128"/>
    </row>
    <row r="737" customFormat="false" ht="15" hidden="false" customHeight="false" outlineLevel="0" collapsed="false">
      <c r="F737" s="128"/>
    </row>
    <row r="738" customFormat="false" ht="15" hidden="false" customHeight="false" outlineLevel="0" collapsed="false">
      <c r="F738" s="128"/>
    </row>
    <row r="739" customFormat="false" ht="15" hidden="false" customHeight="false" outlineLevel="0" collapsed="false">
      <c r="F739" s="128"/>
    </row>
    <row r="740" customFormat="false" ht="15" hidden="false" customHeight="false" outlineLevel="0" collapsed="false">
      <c r="F740" s="128"/>
    </row>
    <row r="741" customFormat="false" ht="15" hidden="false" customHeight="false" outlineLevel="0" collapsed="false">
      <c r="F741" s="128"/>
    </row>
    <row r="742" customFormat="false" ht="15" hidden="false" customHeight="false" outlineLevel="0" collapsed="false">
      <c r="F742" s="128"/>
    </row>
    <row r="743" customFormat="false" ht="15" hidden="false" customHeight="false" outlineLevel="0" collapsed="false">
      <c r="F743" s="128"/>
    </row>
    <row r="744" customFormat="false" ht="15" hidden="false" customHeight="false" outlineLevel="0" collapsed="false">
      <c r="F744" s="128"/>
    </row>
    <row r="745" customFormat="false" ht="15" hidden="false" customHeight="false" outlineLevel="0" collapsed="false">
      <c r="F745" s="128"/>
    </row>
    <row r="746" customFormat="false" ht="15" hidden="false" customHeight="false" outlineLevel="0" collapsed="false">
      <c r="F746" s="128"/>
    </row>
    <row r="747" customFormat="false" ht="15" hidden="false" customHeight="false" outlineLevel="0" collapsed="false">
      <c r="F747" s="128"/>
    </row>
    <row r="748" customFormat="false" ht="15" hidden="false" customHeight="false" outlineLevel="0" collapsed="false">
      <c r="F748" s="128"/>
    </row>
    <row r="749" customFormat="false" ht="15" hidden="false" customHeight="false" outlineLevel="0" collapsed="false">
      <c r="F749" s="128"/>
    </row>
    <row r="750" customFormat="false" ht="15" hidden="false" customHeight="false" outlineLevel="0" collapsed="false">
      <c r="F750" s="128"/>
    </row>
    <row r="751" customFormat="false" ht="15" hidden="false" customHeight="false" outlineLevel="0" collapsed="false">
      <c r="F751" s="128"/>
    </row>
    <row r="752" customFormat="false" ht="15" hidden="false" customHeight="false" outlineLevel="0" collapsed="false">
      <c r="F752" s="128"/>
    </row>
    <row r="753" customFormat="false" ht="15" hidden="false" customHeight="false" outlineLevel="0" collapsed="false">
      <c r="F753" s="128"/>
    </row>
    <row r="754" customFormat="false" ht="15" hidden="false" customHeight="false" outlineLevel="0" collapsed="false">
      <c r="F754" s="128"/>
    </row>
    <row r="755" customFormat="false" ht="15" hidden="false" customHeight="false" outlineLevel="0" collapsed="false">
      <c r="F755" s="128"/>
    </row>
    <row r="756" customFormat="false" ht="15" hidden="false" customHeight="false" outlineLevel="0" collapsed="false">
      <c r="F756" s="128"/>
    </row>
    <row r="757" customFormat="false" ht="15" hidden="false" customHeight="false" outlineLevel="0" collapsed="false">
      <c r="F757" s="128"/>
    </row>
    <row r="758" customFormat="false" ht="15" hidden="false" customHeight="false" outlineLevel="0" collapsed="false">
      <c r="F758" s="128"/>
    </row>
    <row r="759" customFormat="false" ht="15" hidden="false" customHeight="false" outlineLevel="0" collapsed="false">
      <c r="F759" s="128"/>
    </row>
    <row r="760" customFormat="false" ht="15" hidden="false" customHeight="false" outlineLevel="0" collapsed="false">
      <c r="F760" s="128"/>
    </row>
    <row r="761" customFormat="false" ht="15" hidden="false" customHeight="false" outlineLevel="0" collapsed="false">
      <c r="F761" s="128"/>
    </row>
    <row r="762" customFormat="false" ht="15" hidden="false" customHeight="false" outlineLevel="0" collapsed="false">
      <c r="F762" s="128"/>
    </row>
    <row r="763" customFormat="false" ht="15" hidden="false" customHeight="false" outlineLevel="0" collapsed="false">
      <c r="F763" s="128"/>
    </row>
    <row r="764" customFormat="false" ht="15" hidden="false" customHeight="false" outlineLevel="0" collapsed="false">
      <c r="F764" s="128"/>
    </row>
    <row r="765" customFormat="false" ht="15" hidden="false" customHeight="false" outlineLevel="0" collapsed="false">
      <c r="F765" s="128"/>
    </row>
    <row r="766" customFormat="false" ht="15" hidden="false" customHeight="false" outlineLevel="0" collapsed="false">
      <c r="F766" s="128"/>
    </row>
    <row r="767" customFormat="false" ht="15" hidden="false" customHeight="false" outlineLevel="0" collapsed="false">
      <c r="F767" s="128"/>
    </row>
    <row r="768" customFormat="false" ht="15" hidden="false" customHeight="false" outlineLevel="0" collapsed="false">
      <c r="F768" s="128"/>
    </row>
    <row r="769" customFormat="false" ht="15" hidden="false" customHeight="false" outlineLevel="0" collapsed="false">
      <c r="F769" s="128"/>
    </row>
    <row r="770" customFormat="false" ht="15" hidden="false" customHeight="false" outlineLevel="0" collapsed="false">
      <c r="F770" s="128"/>
    </row>
    <row r="771" customFormat="false" ht="15" hidden="false" customHeight="false" outlineLevel="0" collapsed="false">
      <c r="F771" s="128"/>
    </row>
    <row r="772" customFormat="false" ht="15" hidden="false" customHeight="false" outlineLevel="0" collapsed="false">
      <c r="F772" s="128"/>
    </row>
    <row r="773" customFormat="false" ht="15" hidden="false" customHeight="false" outlineLevel="0" collapsed="false">
      <c r="F773" s="128"/>
    </row>
    <row r="774" customFormat="false" ht="15" hidden="false" customHeight="false" outlineLevel="0" collapsed="false">
      <c r="F774" s="128"/>
    </row>
    <row r="775" customFormat="false" ht="15" hidden="false" customHeight="false" outlineLevel="0" collapsed="false">
      <c r="F775" s="128"/>
    </row>
    <row r="776" customFormat="false" ht="15" hidden="false" customHeight="false" outlineLevel="0" collapsed="false">
      <c r="F776" s="128"/>
    </row>
    <row r="777" customFormat="false" ht="15" hidden="false" customHeight="false" outlineLevel="0" collapsed="false">
      <c r="F777" s="128"/>
    </row>
    <row r="778" customFormat="false" ht="15" hidden="false" customHeight="false" outlineLevel="0" collapsed="false">
      <c r="F778" s="128"/>
    </row>
    <row r="779" customFormat="false" ht="15" hidden="false" customHeight="false" outlineLevel="0" collapsed="false">
      <c r="F779" s="128"/>
    </row>
    <row r="780" customFormat="false" ht="15" hidden="false" customHeight="false" outlineLevel="0" collapsed="false">
      <c r="F780" s="128"/>
    </row>
    <row r="781" customFormat="false" ht="15" hidden="false" customHeight="false" outlineLevel="0" collapsed="false">
      <c r="F781" s="128"/>
    </row>
    <row r="782" customFormat="false" ht="15" hidden="false" customHeight="false" outlineLevel="0" collapsed="false">
      <c r="F782" s="128"/>
    </row>
    <row r="783" customFormat="false" ht="15" hidden="false" customHeight="false" outlineLevel="0" collapsed="false">
      <c r="F783" s="128"/>
    </row>
    <row r="784" customFormat="false" ht="15" hidden="false" customHeight="false" outlineLevel="0" collapsed="false">
      <c r="F784" s="128"/>
    </row>
    <row r="785" customFormat="false" ht="15" hidden="false" customHeight="false" outlineLevel="0" collapsed="false">
      <c r="F785" s="128"/>
    </row>
    <row r="786" customFormat="false" ht="15" hidden="false" customHeight="false" outlineLevel="0" collapsed="false">
      <c r="F786" s="128"/>
    </row>
    <row r="787" customFormat="false" ht="15" hidden="false" customHeight="false" outlineLevel="0" collapsed="false">
      <c r="F787" s="128"/>
    </row>
    <row r="788" customFormat="false" ht="15" hidden="false" customHeight="false" outlineLevel="0" collapsed="false">
      <c r="F788" s="128"/>
    </row>
    <row r="789" customFormat="false" ht="15" hidden="false" customHeight="false" outlineLevel="0" collapsed="false">
      <c r="F789" s="128"/>
    </row>
    <row r="790" customFormat="false" ht="15" hidden="false" customHeight="false" outlineLevel="0" collapsed="false">
      <c r="F790" s="128"/>
    </row>
    <row r="791" customFormat="false" ht="15" hidden="false" customHeight="false" outlineLevel="0" collapsed="false">
      <c r="F791" s="128"/>
    </row>
    <row r="792" customFormat="false" ht="15" hidden="false" customHeight="false" outlineLevel="0" collapsed="false">
      <c r="F792" s="128"/>
    </row>
    <row r="793" customFormat="false" ht="15" hidden="false" customHeight="false" outlineLevel="0" collapsed="false">
      <c r="F793" s="128"/>
    </row>
    <row r="794" customFormat="false" ht="15" hidden="false" customHeight="false" outlineLevel="0" collapsed="false">
      <c r="F794" s="128"/>
    </row>
    <row r="795" customFormat="false" ht="15" hidden="false" customHeight="false" outlineLevel="0" collapsed="false">
      <c r="F795" s="128"/>
    </row>
    <row r="796" customFormat="false" ht="15" hidden="false" customHeight="false" outlineLevel="0" collapsed="false">
      <c r="F796" s="128"/>
    </row>
    <row r="797" customFormat="false" ht="15" hidden="false" customHeight="false" outlineLevel="0" collapsed="false">
      <c r="F797" s="128"/>
    </row>
    <row r="798" customFormat="false" ht="15" hidden="false" customHeight="false" outlineLevel="0" collapsed="false">
      <c r="F798" s="128"/>
    </row>
    <row r="799" customFormat="false" ht="15" hidden="false" customHeight="false" outlineLevel="0" collapsed="false">
      <c r="F799" s="128"/>
    </row>
    <row r="800" customFormat="false" ht="15" hidden="false" customHeight="false" outlineLevel="0" collapsed="false">
      <c r="F800" s="128"/>
    </row>
    <row r="801" customFormat="false" ht="15" hidden="false" customHeight="false" outlineLevel="0" collapsed="false">
      <c r="F801" s="128"/>
    </row>
    <row r="802" customFormat="false" ht="15" hidden="false" customHeight="false" outlineLevel="0" collapsed="false">
      <c r="F802" s="128"/>
    </row>
    <row r="803" customFormat="false" ht="15" hidden="false" customHeight="false" outlineLevel="0" collapsed="false">
      <c r="F803" s="128"/>
    </row>
    <row r="804" customFormat="false" ht="15" hidden="false" customHeight="false" outlineLevel="0" collapsed="false">
      <c r="F804" s="128"/>
    </row>
    <row r="805" customFormat="false" ht="15" hidden="false" customHeight="false" outlineLevel="0" collapsed="false">
      <c r="F805" s="128"/>
    </row>
    <row r="806" customFormat="false" ht="15" hidden="false" customHeight="false" outlineLevel="0" collapsed="false">
      <c r="F806" s="128"/>
    </row>
    <row r="807" customFormat="false" ht="15" hidden="false" customHeight="false" outlineLevel="0" collapsed="false">
      <c r="F807" s="128"/>
    </row>
    <row r="808" customFormat="false" ht="15" hidden="false" customHeight="false" outlineLevel="0" collapsed="false">
      <c r="F808" s="128"/>
    </row>
    <row r="809" customFormat="false" ht="15" hidden="false" customHeight="false" outlineLevel="0" collapsed="false">
      <c r="F809" s="128"/>
    </row>
    <row r="810" customFormat="false" ht="15" hidden="false" customHeight="false" outlineLevel="0" collapsed="false">
      <c r="F810" s="128"/>
    </row>
    <row r="811" customFormat="false" ht="15" hidden="false" customHeight="false" outlineLevel="0" collapsed="false">
      <c r="F811" s="128"/>
    </row>
    <row r="812" customFormat="false" ht="15" hidden="false" customHeight="false" outlineLevel="0" collapsed="false">
      <c r="F812" s="128"/>
    </row>
    <row r="813" customFormat="false" ht="15" hidden="false" customHeight="false" outlineLevel="0" collapsed="false">
      <c r="F813" s="128"/>
    </row>
    <row r="814" customFormat="false" ht="15" hidden="false" customHeight="false" outlineLevel="0" collapsed="false">
      <c r="F814" s="128"/>
    </row>
    <row r="815" customFormat="false" ht="15" hidden="false" customHeight="false" outlineLevel="0" collapsed="false">
      <c r="F815" s="128"/>
    </row>
    <row r="816" customFormat="false" ht="15" hidden="false" customHeight="false" outlineLevel="0" collapsed="false">
      <c r="F816" s="128"/>
    </row>
    <row r="817" customFormat="false" ht="15" hidden="false" customHeight="false" outlineLevel="0" collapsed="false">
      <c r="F817" s="128"/>
    </row>
    <row r="818" customFormat="false" ht="15" hidden="false" customHeight="false" outlineLevel="0" collapsed="false">
      <c r="F818" s="128"/>
    </row>
    <row r="819" customFormat="false" ht="15" hidden="false" customHeight="false" outlineLevel="0" collapsed="false">
      <c r="F819" s="128"/>
    </row>
    <row r="820" customFormat="false" ht="15" hidden="false" customHeight="false" outlineLevel="0" collapsed="false">
      <c r="F820" s="128"/>
    </row>
    <row r="821" customFormat="false" ht="15" hidden="false" customHeight="false" outlineLevel="0" collapsed="false">
      <c r="F821" s="128"/>
    </row>
    <row r="822" customFormat="false" ht="15" hidden="false" customHeight="false" outlineLevel="0" collapsed="false">
      <c r="F822" s="128"/>
    </row>
    <row r="823" customFormat="false" ht="15" hidden="false" customHeight="false" outlineLevel="0" collapsed="false">
      <c r="F823" s="128"/>
    </row>
    <row r="824" customFormat="false" ht="15" hidden="false" customHeight="false" outlineLevel="0" collapsed="false">
      <c r="F824" s="128"/>
    </row>
    <row r="825" customFormat="false" ht="15" hidden="false" customHeight="false" outlineLevel="0" collapsed="false">
      <c r="F825" s="128"/>
    </row>
    <row r="826" customFormat="false" ht="15" hidden="false" customHeight="false" outlineLevel="0" collapsed="false">
      <c r="F826" s="128"/>
    </row>
    <row r="827" customFormat="false" ht="15" hidden="false" customHeight="false" outlineLevel="0" collapsed="false">
      <c r="F827" s="128"/>
    </row>
    <row r="828" customFormat="false" ht="15" hidden="false" customHeight="false" outlineLevel="0" collapsed="false">
      <c r="F828" s="128"/>
    </row>
    <row r="829" customFormat="false" ht="15" hidden="false" customHeight="false" outlineLevel="0" collapsed="false">
      <c r="F829" s="128"/>
    </row>
    <row r="830" customFormat="false" ht="15" hidden="false" customHeight="false" outlineLevel="0" collapsed="false">
      <c r="F830" s="128"/>
    </row>
    <row r="831" customFormat="false" ht="15" hidden="false" customHeight="false" outlineLevel="0" collapsed="false">
      <c r="F831" s="128"/>
    </row>
    <row r="832" customFormat="false" ht="15" hidden="false" customHeight="false" outlineLevel="0" collapsed="false">
      <c r="F832" s="128"/>
    </row>
    <row r="833" customFormat="false" ht="15" hidden="false" customHeight="false" outlineLevel="0" collapsed="false">
      <c r="F833" s="128"/>
    </row>
    <row r="834" customFormat="false" ht="15" hidden="false" customHeight="false" outlineLevel="0" collapsed="false">
      <c r="F834" s="128"/>
    </row>
    <row r="835" customFormat="false" ht="15" hidden="false" customHeight="false" outlineLevel="0" collapsed="false">
      <c r="F835" s="128"/>
    </row>
    <row r="836" customFormat="false" ht="15" hidden="false" customHeight="false" outlineLevel="0" collapsed="false">
      <c r="F836" s="128"/>
    </row>
    <row r="837" customFormat="false" ht="15" hidden="false" customHeight="false" outlineLevel="0" collapsed="false">
      <c r="F837" s="128"/>
    </row>
    <row r="838" customFormat="false" ht="15" hidden="false" customHeight="false" outlineLevel="0" collapsed="false">
      <c r="F838" s="128"/>
    </row>
    <row r="839" customFormat="false" ht="15" hidden="false" customHeight="false" outlineLevel="0" collapsed="false">
      <c r="F839" s="128"/>
    </row>
    <row r="840" customFormat="false" ht="15" hidden="false" customHeight="false" outlineLevel="0" collapsed="false">
      <c r="F840" s="128"/>
    </row>
    <row r="841" customFormat="false" ht="15" hidden="false" customHeight="false" outlineLevel="0" collapsed="false">
      <c r="F841" s="128"/>
    </row>
    <row r="842" customFormat="false" ht="15" hidden="false" customHeight="false" outlineLevel="0" collapsed="false">
      <c r="F842" s="128"/>
    </row>
    <row r="843" customFormat="false" ht="15" hidden="false" customHeight="false" outlineLevel="0" collapsed="false">
      <c r="F843" s="128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24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0" activeCellId="0" sqref="J10"/>
    </sheetView>
  </sheetViews>
  <sheetFormatPr defaultRowHeight="15" zeroHeight="false" outlineLevelRow="0" outlineLevelCol="0"/>
  <cols>
    <col collapsed="false" customWidth="true" hidden="false" outlineLevel="0" max="1" min="1" style="0" width="8.54"/>
    <col collapsed="false" customWidth="true" hidden="false" outlineLevel="0" max="2" min="2" style="0" width="9.58"/>
    <col collapsed="false" customWidth="true" hidden="false" outlineLevel="0" max="9" min="3" style="0" width="8.54"/>
    <col collapsed="false" customWidth="true" hidden="false" outlineLevel="0" max="10" min="10" style="0" width="16.57"/>
    <col collapsed="false" customWidth="true" hidden="false" outlineLevel="0" max="11" min="11" style="0" width="14.43"/>
    <col collapsed="false" customWidth="true" hidden="false" outlineLevel="0" max="15" min="12" style="0" width="8.54"/>
    <col collapsed="false" customWidth="true" hidden="false" outlineLevel="0" max="16" min="16" style="0" width="16.14"/>
    <col collapsed="false" customWidth="true" hidden="false" outlineLevel="0" max="17" min="17" style="0" width="12.71"/>
    <col collapsed="false" customWidth="true" hidden="false" outlineLevel="0" max="18" min="18" style="0" width="9.71"/>
    <col collapsed="false" customWidth="true" hidden="false" outlineLevel="0" max="1025" min="19" style="0" width="8.54"/>
  </cols>
  <sheetData>
    <row r="1" s="126" customFormat="true" ht="15" hidden="false" customHeight="false" outlineLevel="0" collapsed="false">
      <c r="A1" s="126" t="s">
        <v>61</v>
      </c>
      <c r="B1" s="126" t="s">
        <v>157</v>
      </c>
      <c r="C1" s="126" t="s">
        <v>158</v>
      </c>
      <c r="D1" s="126" t="s">
        <v>159</v>
      </c>
      <c r="E1" s="126" t="s">
        <v>69</v>
      </c>
      <c r="F1" s="126" t="s">
        <v>160</v>
      </c>
      <c r="G1" s="126" t="s">
        <v>63</v>
      </c>
      <c r="H1" s="126" t="s">
        <v>161</v>
      </c>
      <c r="I1" s="126" t="s">
        <v>162</v>
      </c>
      <c r="J1" s="126" t="s">
        <v>163</v>
      </c>
      <c r="K1" s="126" t="s">
        <v>164</v>
      </c>
      <c r="L1" s="126" t="s">
        <v>165</v>
      </c>
      <c r="M1" s="126" t="s">
        <v>166</v>
      </c>
      <c r="N1" s="126" t="s">
        <v>64</v>
      </c>
      <c r="O1" s="126" t="s">
        <v>167</v>
      </c>
      <c r="P1" s="126" t="s">
        <v>90</v>
      </c>
      <c r="Q1" s="126" t="s">
        <v>168</v>
      </c>
    </row>
    <row r="2" customFormat="false" ht="15" hidden="false" customHeight="false" outlineLevel="0" collapsed="false">
      <c r="A2" s="0" t="s">
        <v>169</v>
      </c>
      <c r="B2" s="0" t="n">
        <v>2</v>
      </c>
      <c r="C2" s="0" t="s">
        <v>170</v>
      </c>
      <c r="D2" s="0" t="s">
        <v>171</v>
      </c>
      <c r="E2" s="0" t="s">
        <v>73</v>
      </c>
      <c r="F2" s="0" t="s">
        <v>172</v>
      </c>
      <c r="G2" s="0" t="s">
        <v>65</v>
      </c>
      <c r="H2" s="0" t="s">
        <v>137</v>
      </c>
      <c r="I2" s="0" t="s">
        <v>137</v>
      </c>
      <c r="J2" s="128" t="n">
        <v>42612</v>
      </c>
      <c r="K2" s="128" t="n">
        <v>42613</v>
      </c>
      <c r="L2" s="0" t="s">
        <v>173</v>
      </c>
      <c r="M2" s="0" t="s">
        <v>174</v>
      </c>
      <c r="N2" s="0" t="s">
        <v>70</v>
      </c>
      <c r="O2" s="0" t="s">
        <v>175</v>
      </c>
      <c r="P2" s="0" t="s">
        <v>96</v>
      </c>
      <c r="Q2" s="0" t="n">
        <v>1</v>
      </c>
    </row>
    <row r="3" customFormat="false" ht="15" hidden="false" customHeight="false" outlineLevel="0" collapsed="false">
      <c r="A3" s="0" t="s">
        <v>169</v>
      </c>
      <c r="B3" s="0" t="n">
        <v>3</v>
      </c>
      <c r="C3" s="0" t="s">
        <v>176</v>
      </c>
      <c r="D3" s="0" t="s">
        <v>171</v>
      </c>
      <c r="E3" s="0" t="s">
        <v>76</v>
      </c>
      <c r="F3" s="0" t="s">
        <v>172</v>
      </c>
      <c r="G3" s="0" t="s">
        <v>67</v>
      </c>
      <c r="H3" s="0" t="s">
        <v>137</v>
      </c>
      <c r="I3" s="0" t="s">
        <v>137</v>
      </c>
      <c r="J3" s="128" t="n">
        <v>42613</v>
      </c>
      <c r="K3" s="128"/>
      <c r="N3" s="0" t="s">
        <v>71</v>
      </c>
      <c r="O3" s="0" t="s">
        <v>175</v>
      </c>
      <c r="P3" s="0" t="s">
        <v>96</v>
      </c>
      <c r="Q3" s="0" t="n">
        <v>24</v>
      </c>
    </row>
    <row r="4" customFormat="false" ht="15" hidden="false" customHeight="false" outlineLevel="0" collapsed="false">
      <c r="A4" s="0" t="s">
        <v>169</v>
      </c>
      <c r="B4" s="0" t="n">
        <v>4</v>
      </c>
      <c r="C4" s="0" t="s">
        <v>177</v>
      </c>
      <c r="D4" s="0" t="s">
        <v>178</v>
      </c>
      <c r="E4" s="0" t="s">
        <v>74</v>
      </c>
      <c r="F4" s="0" t="s">
        <v>172</v>
      </c>
      <c r="G4" s="0" t="s">
        <v>65</v>
      </c>
      <c r="H4" s="0" t="s">
        <v>139</v>
      </c>
      <c r="I4" s="0" t="s">
        <v>139</v>
      </c>
      <c r="J4" s="128" t="n">
        <v>42614</v>
      </c>
      <c r="K4" s="128" t="n">
        <v>42616</v>
      </c>
      <c r="L4" s="0" t="s">
        <v>173</v>
      </c>
      <c r="M4" s="0" t="s">
        <v>174</v>
      </c>
      <c r="N4" s="0" t="s">
        <v>70</v>
      </c>
      <c r="O4" s="0" t="s">
        <v>175</v>
      </c>
      <c r="P4" s="0" t="s">
        <v>97</v>
      </c>
      <c r="Q4" s="0" t="n">
        <v>2</v>
      </c>
    </row>
    <row r="5" customFormat="false" ht="15" hidden="false" customHeight="false" outlineLevel="0" collapsed="false">
      <c r="A5" s="0" t="s">
        <v>169</v>
      </c>
      <c r="B5" s="0" t="n">
        <v>5</v>
      </c>
      <c r="C5" s="0" t="s">
        <v>179</v>
      </c>
      <c r="D5" s="0" t="s">
        <v>178</v>
      </c>
      <c r="E5" s="0" t="s">
        <v>76</v>
      </c>
      <c r="F5" s="0" t="s">
        <v>172</v>
      </c>
      <c r="G5" s="0" t="s">
        <v>67</v>
      </c>
      <c r="H5" s="0" t="s">
        <v>138</v>
      </c>
      <c r="I5" s="0" t="s">
        <v>138</v>
      </c>
      <c r="J5" s="128" t="n">
        <v>42620</v>
      </c>
      <c r="K5" s="128"/>
      <c r="L5" s="0" t="s">
        <v>180</v>
      </c>
      <c r="M5" s="0" t="s">
        <v>181</v>
      </c>
      <c r="N5" s="0" t="s">
        <v>72</v>
      </c>
      <c r="O5" s="0" t="s">
        <v>175</v>
      </c>
      <c r="P5" s="0" t="s">
        <v>97</v>
      </c>
      <c r="Q5" s="0" t="n">
        <v>15</v>
      </c>
    </row>
    <row r="6" customFormat="false" ht="15" hidden="false" customHeight="false" outlineLevel="0" collapsed="false">
      <c r="A6" s="0" t="s">
        <v>169</v>
      </c>
      <c r="B6" s="0" t="n">
        <v>6</v>
      </c>
      <c r="C6" s="0" t="s">
        <v>182</v>
      </c>
      <c r="D6" s="0" t="s">
        <v>183</v>
      </c>
      <c r="E6" s="0" t="s">
        <v>75</v>
      </c>
      <c r="F6" s="0" t="s">
        <v>172</v>
      </c>
      <c r="G6" s="0" t="s">
        <v>65</v>
      </c>
      <c r="H6" s="0" t="s">
        <v>139</v>
      </c>
      <c r="I6" s="0" t="s">
        <v>139</v>
      </c>
      <c r="J6" s="128" t="n">
        <v>42622</v>
      </c>
      <c r="K6" s="128" t="n">
        <v>42633</v>
      </c>
      <c r="L6" s="0" t="s">
        <v>184</v>
      </c>
      <c r="M6" s="0" t="s">
        <v>185</v>
      </c>
      <c r="N6" s="0" t="s">
        <v>70</v>
      </c>
      <c r="O6" s="0" t="s">
        <v>175</v>
      </c>
      <c r="P6" s="0" t="s">
        <v>99</v>
      </c>
      <c r="Q6" s="0" t="n">
        <v>11</v>
      </c>
    </row>
    <row r="7" customFormat="false" ht="15" hidden="false" customHeight="false" outlineLevel="0" collapsed="false">
      <c r="J7" s="128"/>
      <c r="K7" s="128"/>
    </row>
    <row r="8" customFormat="false" ht="15" hidden="false" customHeight="false" outlineLevel="0" collapsed="false">
      <c r="J8" s="128"/>
      <c r="K8" s="128"/>
    </row>
    <row r="9" customFormat="false" ht="15" hidden="false" customHeight="false" outlineLevel="0" collapsed="false">
      <c r="J9" s="128"/>
      <c r="K9" s="128"/>
    </row>
    <row r="10" customFormat="false" ht="15" hidden="false" customHeight="false" outlineLevel="0" collapsed="false">
      <c r="J10" s="128"/>
      <c r="K10" s="128"/>
    </row>
    <row r="11" customFormat="false" ht="15" hidden="false" customHeight="false" outlineLevel="0" collapsed="false">
      <c r="J11" s="128"/>
      <c r="K11" s="128"/>
    </row>
    <row r="12" customFormat="false" ht="15" hidden="false" customHeight="false" outlineLevel="0" collapsed="false">
      <c r="J12" s="128"/>
      <c r="K12" s="128"/>
    </row>
    <row r="13" customFormat="false" ht="15" hidden="false" customHeight="false" outlineLevel="0" collapsed="false">
      <c r="J13" s="128"/>
      <c r="K13" s="128"/>
    </row>
    <row r="14" customFormat="false" ht="15" hidden="false" customHeight="false" outlineLevel="0" collapsed="false">
      <c r="J14" s="128"/>
      <c r="K14" s="128"/>
    </row>
    <row r="15" customFormat="false" ht="15" hidden="false" customHeight="false" outlineLevel="0" collapsed="false">
      <c r="J15" s="128"/>
      <c r="K15" s="128"/>
    </row>
    <row r="16" customFormat="false" ht="15" hidden="false" customHeight="false" outlineLevel="0" collapsed="false">
      <c r="J16" s="128"/>
      <c r="K16" s="128"/>
    </row>
    <row r="17" customFormat="false" ht="15" hidden="false" customHeight="false" outlineLevel="0" collapsed="false">
      <c r="J17" s="128"/>
      <c r="K17" s="128"/>
    </row>
    <row r="18" customFormat="false" ht="15" hidden="false" customHeight="false" outlineLevel="0" collapsed="false">
      <c r="J18" s="128"/>
      <c r="K18" s="128"/>
    </row>
    <row r="19" customFormat="false" ht="15" hidden="false" customHeight="false" outlineLevel="0" collapsed="false">
      <c r="J19" s="128"/>
      <c r="K19" s="128"/>
    </row>
    <row r="20" customFormat="false" ht="15" hidden="false" customHeight="false" outlineLevel="0" collapsed="false">
      <c r="J20" s="128"/>
      <c r="K20" s="128"/>
    </row>
    <row r="21" customFormat="false" ht="15" hidden="false" customHeight="false" outlineLevel="0" collapsed="false">
      <c r="J21" s="128"/>
      <c r="K21" s="128"/>
    </row>
    <row r="22" customFormat="false" ht="15" hidden="false" customHeight="false" outlineLevel="0" collapsed="false">
      <c r="J22" s="128"/>
      <c r="K22" s="128"/>
    </row>
    <row r="23" customFormat="false" ht="15" hidden="false" customHeight="false" outlineLevel="0" collapsed="false">
      <c r="J23" s="128"/>
      <c r="K23" s="128"/>
    </row>
    <row r="24" customFormat="false" ht="15" hidden="false" customHeight="false" outlineLevel="0" collapsed="false">
      <c r="J24" s="128"/>
      <c r="K24" s="128"/>
    </row>
    <row r="25" customFormat="false" ht="15" hidden="false" customHeight="false" outlineLevel="0" collapsed="false">
      <c r="J25" s="128"/>
      <c r="K25" s="128"/>
    </row>
    <row r="26" customFormat="false" ht="15" hidden="false" customHeight="false" outlineLevel="0" collapsed="false">
      <c r="J26" s="128"/>
      <c r="K26" s="128"/>
    </row>
    <row r="27" customFormat="false" ht="15" hidden="false" customHeight="false" outlineLevel="0" collapsed="false">
      <c r="J27" s="128"/>
      <c r="K27" s="128"/>
    </row>
    <row r="28" customFormat="false" ht="15" hidden="false" customHeight="false" outlineLevel="0" collapsed="false">
      <c r="J28" s="128"/>
      <c r="K28" s="128"/>
    </row>
    <row r="29" customFormat="false" ht="15" hidden="false" customHeight="false" outlineLevel="0" collapsed="false">
      <c r="J29" s="128"/>
      <c r="K29" s="128"/>
    </row>
    <row r="30" customFormat="false" ht="15" hidden="false" customHeight="false" outlineLevel="0" collapsed="false">
      <c r="J30" s="128"/>
      <c r="K30" s="128"/>
    </row>
    <row r="31" customFormat="false" ht="15" hidden="false" customHeight="false" outlineLevel="0" collapsed="false">
      <c r="J31" s="128"/>
      <c r="K31" s="128"/>
    </row>
    <row r="32" customFormat="false" ht="15" hidden="false" customHeight="false" outlineLevel="0" collapsed="false">
      <c r="J32" s="128"/>
      <c r="K32" s="128"/>
    </row>
    <row r="33" customFormat="false" ht="15" hidden="false" customHeight="false" outlineLevel="0" collapsed="false">
      <c r="J33" s="128"/>
      <c r="K33" s="128"/>
    </row>
    <row r="34" customFormat="false" ht="15" hidden="false" customHeight="false" outlineLevel="0" collapsed="false">
      <c r="J34" s="128"/>
      <c r="K34" s="128"/>
    </row>
    <row r="35" customFormat="false" ht="15" hidden="false" customHeight="false" outlineLevel="0" collapsed="false">
      <c r="J35" s="128"/>
      <c r="K35" s="128"/>
    </row>
    <row r="36" customFormat="false" ht="15" hidden="false" customHeight="false" outlineLevel="0" collapsed="false">
      <c r="J36" s="128"/>
      <c r="K36" s="128"/>
    </row>
    <row r="37" customFormat="false" ht="15" hidden="false" customHeight="false" outlineLevel="0" collapsed="false">
      <c r="J37" s="128"/>
      <c r="K37" s="128"/>
    </row>
    <row r="38" customFormat="false" ht="15" hidden="false" customHeight="false" outlineLevel="0" collapsed="false">
      <c r="J38" s="128"/>
      <c r="K38" s="128"/>
    </row>
    <row r="39" customFormat="false" ht="15" hidden="false" customHeight="false" outlineLevel="0" collapsed="false">
      <c r="J39" s="128"/>
      <c r="K39" s="128"/>
    </row>
    <row r="40" customFormat="false" ht="15" hidden="false" customHeight="false" outlineLevel="0" collapsed="false">
      <c r="J40" s="128"/>
      <c r="K40" s="128"/>
    </row>
    <row r="41" customFormat="false" ht="15" hidden="false" customHeight="false" outlineLevel="0" collapsed="false">
      <c r="J41" s="128"/>
      <c r="K41" s="128"/>
    </row>
    <row r="42" customFormat="false" ht="15" hidden="false" customHeight="false" outlineLevel="0" collapsed="false">
      <c r="J42" s="128"/>
      <c r="K42" s="128"/>
    </row>
    <row r="43" customFormat="false" ht="15" hidden="false" customHeight="false" outlineLevel="0" collapsed="false">
      <c r="J43" s="128"/>
      <c r="K43" s="128"/>
    </row>
    <row r="44" customFormat="false" ht="15" hidden="false" customHeight="false" outlineLevel="0" collapsed="false">
      <c r="J44" s="128"/>
      <c r="K44" s="128"/>
    </row>
    <row r="45" customFormat="false" ht="15" hidden="false" customHeight="false" outlineLevel="0" collapsed="false">
      <c r="J45" s="128"/>
      <c r="K45" s="128"/>
    </row>
    <row r="46" customFormat="false" ht="15" hidden="false" customHeight="false" outlineLevel="0" collapsed="false">
      <c r="J46" s="128"/>
      <c r="K46" s="128"/>
    </row>
    <row r="47" customFormat="false" ht="15" hidden="false" customHeight="false" outlineLevel="0" collapsed="false">
      <c r="J47" s="128"/>
      <c r="K47" s="128"/>
    </row>
    <row r="48" customFormat="false" ht="15" hidden="false" customHeight="false" outlineLevel="0" collapsed="false">
      <c r="J48" s="128"/>
    </row>
    <row r="49" customFormat="false" ht="15" hidden="false" customHeight="false" outlineLevel="0" collapsed="false">
      <c r="J49" s="128"/>
      <c r="K49" s="128"/>
    </row>
    <row r="50" customFormat="false" ht="15" hidden="false" customHeight="false" outlineLevel="0" collapsed="false">
      <c r="J50" s="128"/>
      <c r="K50" s="128"/>
    </row>
    <row r="51" customFormat="false" ht="15" hidden="false" customHeight="false" outlineLevel="0" collapsed="false">
      <c r="J51" s="128"/>
    </row>
    <row r="52" customFormat="false" ht="15" hidden="false" customHeight="false" outlineLevel="0" collapsed="false">
      <c r="J52" s="128"/>
      <c r="K52" s="128"/>
    </row>
    <row r="53" customFormat="false" ht="15" hidden="false" customHeight="false" outlineLevel="0" collapsed="false">
      <c r="J53" s="128"/>
      <c r="K53" s="128"/>
    </row>
    <row r="54" customFormat="false" ht="15" hidden="false" customHeight="false" outlineLevel="0" collapsed="false">
      <c r="J54" s="128"/>
    </row>
    <row r="55" customFormat="false" ht="15" hidden="false" customHeight="false" outlineLevel="0" collapsed="false">
      <c r="J55" s="128"/>
      <c r="K55" s="128"/>
    </row>
    <row r="56" customFormat="false" ht="15" hidden="false" customHeight="false" outlineLevel="0" collapsed="false">
      <c r="J56" s="128"/>
    </row>
    <row r="57" customFormat="false" ht="15" hidden="false" customHeight="false" outlineLevel="0" collapsed="false">
      <c r="J57" s="128"/>
      <c r="K57" s="128"/>
    </row>
    <row r="58" customFormat="false" ht="15" hidden="false" customHeight="false" outlineLevel="0" collapsed="false">
      <c r="J58" s="128"/>
      <c r="K58" s="128"/>
    </row>
    <row r="59" customFormat="false" ht="15" hidden="false" customHeight="false" outlineLevel="0" collapsed="false">
      <c r="J59" s="128"/>
      <c r="K59" s="128"/>
    </row>
    <row r="60" customFormat="false" ht="15" hidden="false" customHeight="false" outlineLevel="0" collapsed="false">
      <c r="J60" s="128"/>
      <c r="K60" s="128"/>
    </row>
    <row r="61" customFormat="false" ht="15" hidden="false" customHeight="false" outlineLevel="0" collapsed="false">
      <c r="J61" s="128"/>
      <c r="K61" s="128"/>
    </row>
    <row r="62" customFormat="false" ht="15" hidden="false" customHeight="false" outlineLevel="0" collapsed="false">
      <c r="J62" s="128"/>
      <c r="K62" s="128"/>
    </row>
    <row r="63" customFormat="false" ht="15" hidden="false" customHeight="false" outlineLevel="0" collapsed="false">
      <c r="J63" s="128"/>
      <c r="K63" s="128"/>
    </row>
    <row r="64" customFormat="false" ht="15" hidden="false" customHeight="false" outlineLevel="0" collapsed="false">
      <c r="J64" s="128"/>
    </row>
    <row r="65" customFormat="false" ht="15" hidden="false" customHeight="false" outlineLevel="0" collapsed="false">
      <c r="J65" s="128"/>
      <c r="K65" s="128"/>
    </row>
    <row r="66" customFormat="false" ht="15" hidden="false" customHeight="false" outlineLevel="0" collapsed="false">
      <c r="J66" s="128"/>
      <c r="K66" s="128"/>
    </row>
    <row r="67" customFormat="false" ht="15" hidden="false" customHeight="false" outlineLevel="0" collapsed="false">
      <c r="J67" s="128"/>
      <c r="K67" s="128"/>
    </row>
    <row r="68" customFormat="false" ht="15" hidden="false" customHeight="false" outlineLevel="0" collapsed="false">
      <c r="J68" s="128"/>
      <c r="K68" s="128"/>
    </row>
    <row r="69" customFormat="false" ht="15" hidden="false" customHeight="false" outlineLevel="0" collapsed="false">
      <c r="J69" s="128"/>
      <c r="K69" s="128"/>
    </row>
    <row r="70" customFormat="false" ht="15" hidden="false" customHeight="false" outlineLevel="0" collapsed="false">
      <c r="J70" s="128"/>
      <c r="K70" s="128"/>
    </row>
    <row r="71" customFormat="false" ht="15" hidden="false" customHeight="false" outlineLevel="0" collapsed="false">
      <c r="J71" s="128"/>
      <c r="K71" s="128"/>
    </row>
    <row r="72" customFormat="false" ht="15" hidden="false" customHeight="false" outlineLevel="0" collapsed="false">
      <c r="J72" s="128"/>
      <c r="K72" s="128"/>
    </row>
    <row r="73" customFormat="false" ht="15" hidden="false" customHeight="false" outlineLevel="0" collapsed="false">
      <c r="J73" s="128"/>
      <c r="K73" s="128"/>
    </row>
    <row r="74" customFormat="false" ht="15" hidden="false" customHeight="false" outlineLevel="0" collapsed="false">
      <c r="J74" s="128"/>
      <c r="K74" s="128"/>
    </row>
    <row r="75" customFormat="false" ht="15" hidden="false" customHeight="false" outlineLevel="0" collapsed="false">
      <c r="J75" s="128"/>
      <c r="K75" s="128"/>
    </row>
    <row r="76" customFormat="false" ht="15" hidden="false" customHeight="false" outlineLevel="0" collapsed="false">
      <c r="J76" s="128"/>
      <c r="K76" s="128"/>
    </row>
    <row r="77" customFormat="false" ht="15" hidden="false" customHeight="false" outlineLevel="0" collapsed="false">
      <c r="J77" s="128"/>
      <c r="K77" s="128"/>
    </row>
    <row r="78" customFormat="false" ht="15" hidden="false" customHeight="false" outlineLevel="0" collapsed="false">
      <c r="J78" s="128"/>
      <c r="K78" s="128"/>
    </row>
    <row r="79" customFormat="false" ht="15" hidden="false" customHeight="false" outlineLevel="0" collapsed="false">
      <c r="J79" s="128"/>
      <c r="K79" s="128"/>
    </row>
    <row r="80" customFormat="false" ht="15" hidden="false" customHeight="false" outlineLevel="0" collapsed="false">
      <c r="J80" s="128"/>
      <c r="K80" s="128"/>
    </row>
    <row r="81" customFormat="false" ht="15" hidden="false" customHeight="false" outlineLevel="0" collapsed="false">
      <c r="J81" s="128"/>
      <c r="K81" s="128"/>
    </row>
    <row r="82" customFormat="false" ht="15" hidden="false" customHeight="false" outlineLevel="0" collapsed="false">
      <c r="J82" s="128"/>
      <c r="K82" s="128"/>
    </row>
    <row r="83" customFormat="false" ht="15" hidden="false" customHeight="false" outlineLevel="0" collapsed="false">
      <c r="J83" s="128"/>
      <c r="K83" s="128"/>
    </row>
    <row r="84" customFormat="false" ht="15" hidden="false" customHeight="false" outlineLevel="0" collapsed="false">
      <c r="J84" s="128"/>
      <c r="K84" s="128"/>
    </row>
    <row r="85" customFormat="false" ht="15" hidden="false" customHeight="false" outlineLevel="0" collapsed="false">
      <c r="J85" s="128"/>
      <c r="K85" s="128"/>
    </row>
    <row r="86" customFormat="false" ht="15" hidden="false" customHeight="false" outlineLevel="0" collapsed="false">
      <c r="J86" s="128"/>
      <c r="K86" s="128"/>
    </row>
    <row r="87" customFormat="false" ht="15" hidden="false" customHeight="false" outlineLevel="0" collapsed="false">
      <c r="J87" s="128"/>
      <c r="K87" s="128"/>
    </row>
    <row r="88" customFormat="false" ht="15" hidden="false" customHeight="false" outlineLevel="0" collapsed="false">
      <c r="J88" s="128"/>
      <c r="K88" s="128"/>
    </row>
    <row r="89" customFormat="false" ht="15" hidden="false" customHeight="false" outlineLevel="0" collapsed="false">
      <c r="J89" s="128"/>
      <c r="K89" s="128"/>
    </row>
    <row r="90" customFormat="false" ht="15" hidden="false" customHeight="false" outlineLevel="0" collapsed="false">
      <c r="J90" s="128"/>
    </row>
    <row r="91" customFormat="false" ht="15" hidden="false" customHeight="false" outlineLevel="0" collapsed="false">
      <c r="J91" s="128"/>
      <c r="K91" s="128"/>
    </row>
    <row r="92" customFormat="false" ht="15" hidden="false" customHeight="false" outlineLevel="0" collapsed="false">
      <c r="J92" s="128"/>
      <c r="K92" s="128"/>
    </row>
    <row r="93" customFormat="false" ht="15" hidden="false" customHeight="false" outlineLevel="0" collapsed="false">
      <c r="J93" s="128"/>
      <c r="K93" s="128"/>
    </row>
    <row r="94" customFormat="false" ht="15" hidden="false" customHeight="false" outlineLevel="0" collapsed="false">
      <c r="J94" s="128"/>
    </row>
    <row r="95" customFormat="false" ht="15" hidden="false" customHeight="false" outlineLevel="0" collapsed="false">
      <c r="J95" s="128"/>
      <c r="K95" s="128"/>
    </row>
    <row r="96" customFormat="false" ht="15" hidden="false" customHeight="false" outlineLevel="0" collapsed="false">
      <c r="J96" s="128"/>
    </row>
    <row r="97" customFormat="false" ht="15" hidden="false" customHeight="false" outlineLevel="0" collapsed="false">
      <c r="J97" s="128"/>
      <c r="K97" s="128"/>
    </row>
    <row r="98" customFormat="false" ht="15" hidden="false" customHeight="false" outlineLevel="0" collapsed="false">
      <c r="J98" s="128"/>
      <c r="K98" s="128"/>
    </row>
    <row r="99" customFormat="false" ht="15" hidden="false" customHeight="false" outlineLevel="0" collapsed="false">
      <c r="J99" s="128"/>
      <c r="K99" s="128"/>
    </row>
    <row r="100" customFormat="false" ht="15" hidden="false" customHeight="false" outlineLevel="0" collapsed="false">
      <c r="J100" s="128"/>
    </row>
    <row r="101" customFormat="false" ht="15" hidden="false" customHeight="false" outlineLevel="0" collapsed="false">
      <c r="J101" s="128"/>
      <c r="K101" s="128"/>
    </row>
    <row r="102" customFormat="false" ht="15" hidden="false" customHeight="false" outlineLevel="0" collapsed="false">
      <c r="J102" s="128"/>
      <c r="K102" s="128"/>
    </row>
    <row r="103" customFormat="false" ht="15" hidden="false" customHeight="false" outlineLevel="0" collapsed="false">
      <c r="J103" s="128"/>
      <c r="K103" s="128"/>
    </row>
    <row r="104" customFormat="false" ht="15" hidden="false" customHeight="false" outlineLevel="0" collapsed="false">
      <c r="J104" s="128"/>
      <c r="K104" s="128"/>
    </row>
    <row r="105" customFormat="false" ht="15" hidden="false" customHeight="false" outlineLevel="0" collapsed="false">
      <c r="J105" s="128"/>
      <c r="K105" s="128"/>
    </row>
    <row r="106" customFormat="false" ht="15" hidden="false" customHeight="false" outlineLevel="0" collapsed="false">
      <c r="J106" s="128"/>
      <c r="K106" s="128"/>
    </row>
    <row r="107" customFormat="false" ht="15" hidden="false" customHeight="false" outlineLevel="0" collapsed="false">
      <c r="J107" s="128"/>
      <c r="K107" s="128"/>
    </row>
    <row r="108" customFormat="false" ht="15" hidden="false" customHeight="false" outlineLevel="0" collapsed="false">
      <c r="J108" s="128"/>
      <c r="K108" s="128"/>
    </row>
    <row r="109" customFormat="false" ht="15" hidden="false" customHeight="false" outlineLevel="0" collapsed="false">
      <c r="J109" s="128"/>
      <c r="K109" s="128"/>
    </row>
    <row r="110" customFormat="false" ht="15" hidden="false" customHeight="false" outlineLevel="0" collapsed="false">
      <c r="J110" s="128"/>
      <c r="K110" s="128"/>
    </row>
    <row r="111" customFormat="false" ht="15" hidden="false" customHeight="false" outlineLevel="0" collapsed="false">
      <c r="J111" s="128"/>
      <c r="K111" s="128"/>
    </row>
    <row r="112" customFormat="false" ht="15" hidden="false" customHeight="false" outlineLevel="0" collapsed="false">
      <c r="J112" s="128"/>
      <c r="K112" s="128"/>
    </row>
    <row r="113" customFormat="false" ht="15" hidden="false" customHeight="false" outlineLevel="0" collapsed="false">
      <c r="J113" s="128"/>
      <c r="K113" s="128"/>
    </row>
    <row r="114" customFormat="false" ht="15" hidden="false" customHeight="false" outlineLevel="0" collapsed="false">
      <c r="J114" s="128"/>
      <c r="K114" s="128"/>
    </row>
    <row r="115" customFormat="false" ht="15" hidden="false" customHeight="false" outlineLevel="0" collapsed="false">
      <c r="J115" s="128"/>
      <c r="K115" s="128"/>
    </row>
    <row r="116" customFormat="false" ht="15" hidden="false" customHeight="false" outlineLevel="0" collapsed="false">
      <c r="J116" s="128"/>
      <c r="K116" s="128"/>
    </row>
    <row r="117" customFormat="false" ht="15" hidden="false" customHeight="false" outlineLevel="0" collapsed="false">
      <c r="J117" s="128"/>
      <c r="K117" s="128"/>
    </row>
    <row r="118" customFormat="false" ht="15" hidden="false" customHeight="false" outlineLevel="0" collapsed="false">
      <c r="J118" s="128"/>
      <c r="K118" s="128"/>
    </row>
    <row r="119" customFormat="false" ht="15" hidden="false" customHeight="false" outlineLevel="0" collapsed="false">
      <c r="J119" s="128"/>
      <c r="K119" s="128"/>
    </row>
    <row r="120" customFormat="false" ht="15" hidden="false" customHeight="false" outlineLevel="0" collapsed="false">
      <c r="J120" s="128"/>
      <c r="K120" s="128"/>
    </row>
    <row r="121" customFormat="false" ht="15" hidden="false" customHeight="false" outlineLevel="0" collapsed="false">
      <c r="J121" s="128"/>
      <c r="K121" s="128"/>
    </row>
    <row r="122" customFormat="false" ht="15" hidden="false" customHeight="false" outlineLevel="0" collapsed="false">
      <c r="J122" s="128"/>
      <c r="K122" s="128"/>
    </row>
    <row r="123" customFormat="false" ht="15" hidden="false" customHeight="false" outlineLevel="0" collapsed="false">
      <c r="J123" s="128"/>
      <c r="K123" s="128"/>
    </row>
    <row r="124" customFormat="false" ht="15" hidden="false" customHeight="false" outlineLevel="0" collapsed="false">
      <c r="J124" s="128"/>
      <c r="K124" s="128"/>
    </row>
    <row r="125" customFormat="false" ht="15" hidden="false" customHeight="false" outlineLevel="0" collapsed="false">
      <c r="J125" s="128"/>
    </row>
    <row r="126" customFormat="false" ht="15" hidden="false" customHeight="false" outlineLevel="0" collapsed="false">
      <c r="J126" s="128"/>
      <c r="K126" s="128"/>
    </row>
    <row r="127" customFormat="false" ht="15" hidden="false" customHeight="false" outlineLevel="0" collapsed="false">
      <c r="J127" s="128"/>
      <c r="K127" s="128"/>
    </row>
    <row r="128" customFormat="false" ht="15" hidden="false" customHeight="false" outlineLevel="0" collapsed="false">
      <c r="J128" s="128"/>
      <c r="K128" s="128"/>
    </row>
    <row r="129" customFormat="false" ht="15" hidden="false" customHeight="false" outlineLevel="0" collapsed="false">
      <c r="J129" s="128"/>
      <c r="K129" s="128"/>
    </row>
    <row r="130" customFormat="false" ht="15" hidden="false" customHeight="false" outlineLevel="0" collapsed="false">
      <c r="J130" s="128"/>
      <c r="K130" s="128"/>
    </row>
    <row r="131" customFormat="false" ht="15" hidden="false" customHeight="false" outlineLevel="0" collapsed="false">
      <c r="J131" s="128"/>
      <c r="K131" s="128"/>
    </row>
    <row r="132" customFormat="false" ht="15" hidden="false" customHeight="false" outlineLevel="0" collapsed="false">
      <c r="J132" s="128"/>
      <c r="K132" s="128"/>
    </row>
    <row r="133" customFormat="false" ht="15" hidden="false" customHeight="false" outlineLevel="0" collapsed="false">
      <c r="J133" s="128"/>
    </row>
    <row r="134" customFormat="false" ht="15" hidden="false" customHeight="false" outlineLevel="0" collapsed="false">
      <c r="J134" s="128"/>
      <c r="K134" s="128"/>
    </row>
    <row r="135" customFormat="false" ht="15" hidden="false" customHeight="false" outlineLevel="0" collapsed="false">
      <c r="J135" s="128"/>
      <c r="K135" s="128"/>
    </row>
    <row r="136" customFormat="false" ht="15" hidden="false" customHeight="false" outlineLevel="0" collapsed="false">
      <c r="J136" s="128"/>
    </row>
    <row r="137" customFormat="false" ht="15" hidden="false" customHeight="false" outlineLevel="0" collapsed="false">
      <c r="J137" s="128"/>
      <c r="K137" s="128"/>
    </row>
    <row r="138" customFormat="false" ht="15" hidden="false" customHeight="false" outlineLevel="0" collapsed="false">
      <c r="J138" s="128"/>
      <c r="K138" s="128"/>
    </row>
    <row r="139" customFormat="false" ht="15" hidden="false" customHeight="false" outlineLevel="0" collapsed="false">
      <c r="J139" s="128"/>
      <c r="K139" s="128"/>
    </row>
    <row r="140" customFormat="false" ht="15" hidden="false" customHeight="false" outlineLevel="0" collapsed="false">
      <c r="J140" s="128"/>
      <c r="K140" s="128"/>
    </row>
    <row r="141" customFormat="false" ht="15" hidden="false" customHeight="false" outlineLevel="0" collapsed="false">
      <c r="J141" s="128"/>
      <c r="K141" s="128"/>
    </row>
    <row r="142" customFormat="false" ht="15" hidden="false" customHeight="false" outlineLevel="0" collapsed="false">
      <c r="J142" s="128"/>
      <c r="K142" s="128"/>
    </row>
    <row r="143" customFormat="false" ht="15" hidden="false" customHeight="false" outlineLevel="0" collapsed="false">
      <c r="J143" s="128"/>
      <c r="K143" s="128"/>
    </row>
    <row r="144" customFormat="false" ht="15" hidden="false" customHeight="false" outlineLevel="0" collapsed="false">
      <c r="J144" s="128"/>
      <c r="K144" s="128"/>
    </row>
    <row r="145" customFormat="false" ht="15" hidden="false" customHeight="false" outlineLevel="0" collapsed="false">
      <c r="J145" s="128"/>
      <c r="K145" s="128"/>
    </row>
    <row r="146" customFormat="false" ht="15" hidden="false" customHeight="false" outlineLevel="0" collapsed="false">
      <c r="J146" s="128"/>
      <c r="K146" s="128"/>
    </row>
    <row r="147" customFormat="false" ht="15" hidden="false" customHeight="false" outlineLevel="0" collapsed="false">
      <c r="J147" s="128"/>
      <c r="K147" s="128"/>
    </row>
    <row r="148" customFormat="false" ht="15" hidden="false" customHeight="false" outlineLevel="0" collapsed="false">
      <c r="J148" s="128"/>
      <c r="K148" s="128"/>
    </row>
    <row r="149" customFormat="false" ht="15" hidden="false" customHeight="false" outlineLevel="0" collapsed="false">
      <c r="J149" s="128"/>
      <c r="K149" s="128"/>
    </row>
    <row r="150" customFormat="false" ht="15" hidden="false" customHeight="false" outlineLevel="0" collapsed="false">
      <c r="J150" s="128"/>
      <c r="K150" s="128"/>
    </row>
    <row r="151" customFormat="false" ht="15" hidden="false" customHeight="false" outlineLevel="0" collapsed="false">
      <c r="J151" s="128"/>
    </row>
    <row r="152" customFormat="false" ht="15" hidden="false" customHeight="false" outlineLevel="0" collapsed="false">
      <c r="J152" s="128"/>
      <c r="K152" s="128"/>
    </row>
    <row r="153" customFormat="false" ht="15" hidden="false" customHeight="false" outlineLevel="0" collapsed="false">
      <c r="J153" s="128"/>
      <c r="K153" s="128"/>
    </row>
    <row r="154" customFormat="false" ht="15" hidden="false" customHeight="false" outlineLevel="0" collapsed="false">
      <c r="J154" s="128"/>
      <c r="K154" s="128"/>
    </row>
    <row r="155" customFormat="false" ht="15" hidden="false" customHeight="false" outlineLevel="0" collapsed="false">
      <c r="J155" s="128"/>
      <c r="K155" s="128"/>
    </row>
    <row r="156" customFormat="false" ht="15" hidden="false" customHeight="false" outlineLevel="0" collapsed="false">
      <c r="J156" s="128"/>
      <c r="K156" s="128"/>
    </row>
    <row r="157" customFormat="false" ht="15" hidden="false" customHeight="false" outlineLevel="0" collapsed="false">
      <c r="J157" s="128"/>
      <c r="K157" s="128"/>
    </row>
    <row r="158" customFormat="false" ht="15" hidden="false" customHeight="false" outlineLevel="0" collapsed="false">
      <c r="J158" s="128"/>
      <c r="K158" s="128"/>
    </row>
    <row r="159" customFormat="false" ht="15" hidden="false" customHeight="false" outlineLevel="0" collapsed="false">
      <c r="J159" s="128"/>
      <c r="K159" s="128"/>
    </row>
    <row r="160" customFormat="false" ht="15" hidden="false" customHeight="false" outlineLevel="0" collapsed="false">
      <c r="J160" s="128"/>
      <c r="K160" s="128"/>
    </row>
    <row r="161" customFormat="false" ht="15" hidden="false" customHeight="false" outlineLevel="0" collapsed="false">
      <c r="J161" s="128"/>
      <c r="K161" s="128"/>
    </row>
    <row r="162" customFormat="false" ht="15" hidden="false" customHeight="false" outlineLevel="0" collapsed="false">
      <c r="J162" s="128"/>
      <c r="K162" s="128"/>
    </row>
    <row r="163" customFormat="false" ht="15" hidden="false" customHeight="false" outlineLevel="0" collapsed="false">
      <c r="J163" s="128"/>
      <c r="K163" s="128"/>
    </row>
    <row r="164" customFormat="false" ht="15" hidden="false" customHeight="false" outlineLevel="0" collapsed="false">
      <c r="J164" s="128"/>
      <c r="K164" s="128"/>
    </row>
    <row r="165" customFormat="false" ht="15" hidden="false" customHeight="false" outlineLevel="0" collapsed="false">
      <c r="J165" s="128"/>
      <c r="K165" s="128"/>
    </row>
    <row r="166" customFormat="false" ht="15" hidden="false" customHeight="false" outlineLevel="0" collapsed="false">
      <c r="J166" s="128"/>
      <c r="K166" s="128"/>
    </row>
    <row r="167" customFormat="false" ht="15" hidden="false" customHeight="false" outlineLevel="0" collapsed="false">
      <c r="J167" s="128"/>
      <c r="K167" s="128"/>
    </row>
    <row r="168" customFormat="false" ht="15" hidden="false" customHeight="false" outlineLevel="0" collapsed="false">
      <c r="J168" s="128"/>
      <c r="K168" s="128"/>
    </row>
    <row r="169" customFormat="false" ht="15" hidden="false" customHeight="false" outlineLevel="0" collapsed="false">
      <c r="J169" s="128"/>
      <c r="K169" s="128"/>
    </row>
    <row r="170" customFormat="false" ht="15" hidden="false" customHeight="false" outlineLevel="0" collapsed="false">
      <c r="J170" s="128"/>
      <c r="K170" s="128"/>
    </row>
    <row r="171" customFormat="false" ht="15" hidden="false" customHeight="false" outlineLevel="0" collapsed="false">
      <c r="J171" s="128"/>
      <c r="K171" s="128"/>
    </row>
    <row r="172" customFormat="false" ht="15" hidden="false" customHeight="false" outlineLevel="0" collapsed="false">
      <c r="J172" s="128"/>
      <c r="K172" s="128"/>
    </row>
    <row r="173" customFormat="false" ht="15" hidden="false" customHeight="false" outlineLevel="0" collapsed="false">
      <c r="J173" s="128"/>
      <c r="K173" s="128"/>
    </row>
    <row r="174" customFormat="false" ht="15" hidden="false" customHeight="false" outlineLevel="0" collapsed="false">
      <c r="J174" s="128"/>
    </row>
    <row r="175" customFormat="false" ht="15" hidden="false" customHeight="false" outlineLevel="0" collapsed="false">
      <c r="J175" s="128"/>
      <c r="K175" s="128"/>
    </row>
    <row r="176" customFormat="false" ht="15" hidden="false" customHeight="false" outlineLevel="0" collapsed="false">
      <c r="J176" s="128"/>
    </row>
    <row r="177" customFormat="false" ht="15" hidden="false" customHeight="false" outlineLevel="0" collapsed="false">
      <c r="J177" s="128"/>
      <c r="K177" s="128"/>
    </row>
    <row r="178" customFormat="false" ht="15" hidden="false" customHeight="false" outlineLevel="0" collapsed="false">
      <c r="J178" s="128"/>
      <c r="K178" s="128"/>
    </row>
    <row r="179" customFormat="false" ht="15" hidden="false" customHeight="false" outlineLevel="0" collapsed="false">
      <c r="J179" s="128"/>
      <c r="K179" s="128"/>
    </row>
    <row r="180" customFormat="false" ht="15" hidden="false" customHeight="false" outlineLevel="0" collapsed="false">
      <c r="J180" s="128"/>
      <c r="K180" s="128"/>
    </row>
    <row r="181" customFormat="false" ht="15" hidden="false" customHeight="false" outlineLevel="0" collapsed="false">
      <c r="J181" s="128"/>
      <c r="K181" s="128"/>
    </row>
    <row r="182" customFormat="false" ht="15" hidden="false" customHeight="false" outlineLevel="0" collapsed="false">
      <c r="J182" s="128"/>
      <c r="K182" s="128"/>
    </row>
    <row r="183" customFormat="false" ht="15" hidden="false" customHeight="false" outlineLevel="0" collapsed="false">
      <c r="J183" s="128"/>
      <c r="K183" s="128"/>
    </row>
    <row r="184" customFormat="false" ht="15" hidden="false" customHeight="false" outlineLevel="0" collapsed="false">
      <c r="J184" s="128"/>
      <c r="K184" s="128"/>
    </row>
    <row r="185" customFormat="false" ht="15" hidden="false" customHeight="false" outlineLevel="0" collapsed="false">
      <c r="J185" s="128"/>
      <c r="K185" s="128"/>
    </row>
    <row r="186" customFormat="false" ht="15" hidden="false" customHeight="false" outlineLevel="0" collapsed="false">
      <c r="J186" s="128"/>
    </row>
    <row r="187" customFormat="false" ht="15" hidden="false" customHeight="false" outlineLevel="0" collapsed="false">
      <c r="J187" s="128"/>
    </row>
    <row r="188" customFormat="false" ht="15" hidden="false" customHeight="false" outlineLevel="0" collapsed="false">
      <c r="J188" s="128"/>
      <c r="K188" s="128"/>
    </row>
    <row r="189" customFormat="false" ht="15" hidden="false" customHeight="false" outlineLevel="0" collapsed="false">
      <c r="J189" s="128"/>
    </row>
    <row r="190" customFormat="false" ht="15" hidden="false" customHeight="false" outlineLevel="0" collapsed="false">
      <c r="J190" s="128"/>
      <c r="K190" s="128"/>
    </row>
    <row r="191" customFormat="false" ht="15" hidden="false" customHeight="false" outlineLevel="0" collapsed="false">
      <c r="J191" s="128"/>
      <c r="K191" s="128"/>
    </row>
    <row r="192" customFormat="false" ht="15" hidden="false" customHeight="false" outlineLevel="0" collapsed="false">
      <c r="J192" s="128"/>
      <c r="K192" s="128"/>
    </row>
    <row r="193" customFormat="false" ht="15" hidden="false" customHeight="false" outlineLevel="0" collapsed="false">
      <c r="J193" s="128"/>
      <c r="K193" s="128"/>
    </row>
    <row r="194" customFormat="false" ht="15" hidden="false" customHeight="false" outlineLevel="0" collapsed="false">
      <c r="J194" s="128"/>
      <c r="K194" s="128"/>
    </row>
    <row r="195" customFormat="false" ht="15" hidden="false" customHeight="false" outlineLevel="0" collapsed="false">
      <c r="J195" s="128"/>
    </row>
    <row r="196" customFormat="false" ht="15" hidden="false" customHeight="false" outlineLevel="0" collapsed="false">
      <c r="J196" s="128"/>
      <c r="K196" s="128"/>
    </row>
    <row r="197" customFormat="false" ht="15" hidden="false" customHeight="false" outlineLevel="0" collapsed="false">
      <c r="J197" s="128"/>
      <c r="K197" s="128"/>
    </row>
    <row r="198" customFormat="false" ht="15" hidden="false" customHeight="false" outlineLevel="0" collapsed="false">
      <c r="J198" s="128"/>
      <c r="K198" s="128"/>
    </row>
    <row r="199" customFormat="false" ht="15" hidden="false" customHeight="false" outlineLevel="0" collapsed="false">
      <c r="J199" s="128"/>
    </row>
    <row r="200" customFormat="false" ht="15" hidden="false" customHeight="false" outlineLevel="0" collapsed="false">
      <c r="J200" s="128"/>
      <c r="K200" s="128"/>
    </row>
    <row r="201" customFormat="false" ht="15" hidden="false" customHeight="false" outlineLevel="0" collapsed="false">
      <c r="J201" s="128"/>
      <c r="K201" s="128"/>
    </row>
    <row r="202" customFormat="false" ht="15" hidden="false" customHeight="false" outlineLevel="0" collapsed="false">
      <c r="J202" s="128"/>
    </row>
    <row r="203" customFormat="false" ht="15" hidden="false" customHeight="false" outlineLevel="0" collapsed="false">
      <c r="J203" s="128"/>
      <c r="K203" s="128"/>
    </row>
    <row r="204" customFormat="false" ht="15" hidden="false" customHeight="false" outlineLevel="0" collapsed="false">
      <c r="J204" s="128"/>
    </row>
    <row r="205" customFormat="false" ht="15" hidden="false" customHeight="false" outlineLevel="0" collapsed="false">
      <c r="J205" s="128"/>
      <c r="K205" s="128"/>
    </row>
    <row r="206" customFormat="false" ht="15" hidden="false" customHeight="false" outlineLevel="0" collapsed="false">
      <c r="J206" s="128"/>
      <c r="K206" s="128"/>
    </row>
    <row r="207" customFormat="false" ht="15" hidden="false" customHeight="false" outlineLevel="0" collapsed="false">
      <c r="J207" s="128"/>
      <c r="K207" s="128"/>
    </row>
    <row r="208" customFormat="false" ht="15" hidden="false" customHeight="false" outlineLevel="0" collapsed="false">
      <c r="J208" s="128"/>
      <c r="K208" s="128"/>
    </row>
    <row r="209" customFormat="false" ht="15" hidden="false" customHeight="false" outlineLevel="0" collapsed="false">
      <c r="J209" s="128"/>
      <c r="K209" s="128"/>
    </row>
    <row r="210" customFormat="false" ht="15" hidden="false" customHeight="false" outlineLevel="0" collapsed="false">
      <c r="J210" s="128"/>
      <c r="K210" s="128"/>
    </row>
    <row r="211" customFormat="false" ht="15" hidden="false" customHeight="false" outlineLevel="0" collapsed="false">
      <c r="J211" s="128"/>
      <c r="K211" s="128"/>
    </row>
    <row r="212" customFormat="false" ht="15" hidden="false" customHeight="false" outlineLevel="0" collapsed="false">
      <c r="J212" s="128"/>
    </row>
    <row r="213" customFormat="false" ht="15" hidden="false" customHeight="false" outlineLevel="0" collapsed="false">
      <c r="J213" s="128"/>
      <c r="K213" s="128"/>
    </row>
    <row r="214" customFormat="false" ht="15" hidden="false" customHeight="false" outlineLevel="0" collapsed="false">
      <c r="J214" s="128"/>
      <c r="K214" s="128"/>
    </row>
    <row r="215" customFormat="false" ht="15" hidden="false" customHeight="false" outlineLevel="0" collapsed="false">
      <c r="J215" s="128"/>
    </row>
    <row r="216" customFormat="false" ht="15" hidden="false" customHeight="false" outlineLevel="0" collapsed="false">
      <c r="J216" s="128"/>
      <c r="K216" s="128"/>
    </row>
    <row r="217" customFormat="false" ht="15" hidden="false" customHeight="false" outlineLevel="0" collapsed="false">
      <c r="J217" s="128"/>
      <c r="K217" s="128"/>
    </row>
    <row r="218" customFormat="false" ht="15" hidden="false" customHeight="false" outlineLevel="0" collapsed="false">
      <c r="J218" s="128"/>
    </row>
    <row r="219" customFormat="false" ht="15" hidden="false" customHeight="false" outlineLevel="0" collapsed="false">
      <c r="J219" s="128"/>
      <c r="K219" s="128"/>
    </row>
    <row r="220" customFormat="false" ht="15" hidden="false" customHeight="false" outlineLevel="0" collapsed="false">
      <c r="J220" s="128"/>
    </row>
    <row r="221" customFormat="false" ht="15" hidden="false" customHeight="false" outlineLevel="0" collapsed="false">
      <c r="J221" s="128"/>
    </row>
    <row r="222" customFormat="false" ht="15" hidden="false" customHeight="false" outlineLevel="0" collapsed="false">
      <c r="J222" s="128"/>
      <c r="K222" s="128"/>
    </row>
    <row r="223" customFormat="false" ht="15" hidden="false" customHeight="false" outlineLevel="0" collapsed="false">
      <c r="J223" s="128"/>
    </row>
    <row r="224" customFormat="false" ht="15" hidden="false" customHeight="false" outlineLevel="0" collapsed="false">
      <c r="J224" s="128"/>
    </row>
    <row r="225" customFormat="false" ht="15" hidden="false" customHeight="false" outlineLevel="0" collapsed="false">
      <c r="J225" s="128"/>
    </row>
    <row r="226" customFormat="false" ht="15" hidden="false" customHeight="false" outlineLevel="0" collapsed="false">
      <c r="J226" s="128"/>
    </row>
    <row r="227" customFormat="false" ht="15" hidden="false" customHeight="false" outlineLevel="0" collapsed="false">
      <c r="J227" s="128"/>
    </row>
    <row r="228" customFormat="false" ht="15" hidden="false" customHeight="false" outlineLevel="0" collapsed="false">
      <c r="J228" s="128"/>
    </row>
    <row r="229" customFormat="false" ht="15" hidden="false" customHeight="false" outlineLevel="0" collapsed="false">
      <c r="J229" s="128"/>
      <c r="K229" s="128"/>
    </row>
    <row r="230" customFormat="false" ht="15" hidden="false" customHeight="false" outlineLevel="0" collapsed="false">
      <c r="J230" s="128"/>
      <c r="K230" s="128"/>
    </row>
    <row r="231" customFormat="false" ht="15" hidden="false" customHeight="false" outlineLevel="0" collapsed="false">
      <c r="J231" s="128"/>
      <c r="K231" s="128"/>
    </row>
    <row r="232" customFormat="false" ht="15" hidden="false" customHeight="false" outlineLevel="0" collapsed="false">
      <c r="J232" s="128"/>
      <c r="K232" s="128"/>
    </row>
    <row r="233" customFormat="false" ht="15" hidden="false" customHeight="false" outlineLevel="0" collapsed="false">
      <c r="J233" s="128"/>
      <c r="K233" s="128"/>
    </row>
    <row r="234" customFormat="false" ht="15" hidden="false" customHeight="false" outlineLevel="0" collapsed="false">
      <c r="J234" s="128"/>
      <c r="K234" s="128"/>
    </row>
    <row r="235" customFormat="false" ht="15" hidden="false" customHeight="false" outlineLevel="0" collapsed="false">
      <c r="J235" s="128"/>
      <c r="K235" s="128"/>
    </row>
    <row r="236" customFormat="false" ht="15" hidden="false" customHeight="false" outlineLevel="0" collapsed="false">
      <c r="J236" s="128"/>
      <c r="K236" s="128"/>
    </row>
    <row r="237" customFormat="false" ht="15" hidden="false" customHeight="false" outlineLevel="0" collapsed="false">
      <c r="J237" s="128"/>
      <c r="K237" s="128"/>
    </row>
    <row r="238" customFormat="false" ht="15" hidden="false" customHeight="false" outlineLevel="0" collapsed="false">
      <c r="J238" s="128"/>
      <c r="K238" s="128"/>
    </row>
    <row r="239" customFormat="false" ht="15" hidden="false" customHeight="false" outlineLevel="0" collapsed="false">
      <c r="J239" s="128"/>
      <c r="K239" s="128"/>
    </row>
    <row r="240" customFormat="false" ht="15" hidden="false" customHeight="false" outlineLevel="0" collapsed="false">
      <c r="J240" s="128"/>
      <c r="K240" s="128"/>
    </row>
    <row r="241" customFormat="false" ht="15" hidden="false" customHeight="false" outlineLevel="0" collapsed="false">
      <c r="J241" s="128"/>
      <c r="K241" s="128"/>
    </row>
    <row r="242" customFormat="false" ht="15" hidden="false" customHeight="false" outlineLevel="0" collapsed="false">
      <c r="J242" s="128"/>
      <c r="K242" s="128"/>
    </row>
    <row r="243" customFormat="false" ht="15" hidden="false" customHeight="false" outlineLevel="0" collapsed="false">
      <c r="J243" s="128"/>
    </row>
    <row r="244" customFormat="false" ht="15" hidden="false" customHeight="false" outlineLevel="0" collapsed="false">
      <c r="J244" s="128"/>
    </row>
    <row r="245" customFormat="false" ht="15" hidden="false" customHeight="false" outlineLevel="0" collapsed="false">
      <c r="J245" s="128"/>
    </row>
    <row r="246" customFormat="false" ht="15" hidden="false" customHeight="false" outlineLevel="0" collapsed="false">
      <c r="J246" s="128"/>
      <c r="K246" s="128"/>
    </row>
    <row r="247" customFormat="false" ht="15" hidden="false" customHeight="false" outlineLevel="0" collapsed="false">
      <c r="J247" s="128"/>
      <c r="K247" s="128"/>
    </row>
    <row r="248" customFormat="false" ht="15" hidden="false" customHeight="false" outlineLevel="0" collapsed="false">
      <c r="J248" s="128"/>
      <c r="K248" s="128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LibreOffice/6.1.2.1$Windows_X86_64 LibreOffice_project/65905a128db06ba48db947242809d14d3f9a93fe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>Acharya</dc:creator>
  <dc:description/>
  <dc:language>en-US</dc:language>
  <cp:lastModifiedBy/>
  <dcterms:modified xsi:type="dcterms:W3CDTF">2020-09-16T09:57:27Z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