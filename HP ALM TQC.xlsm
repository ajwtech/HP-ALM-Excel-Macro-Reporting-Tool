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Optus\Excel Macro\"/>
    </mc:Choice>
  </mc:AlternateContent>
  <bookViews>
    <workbookView xWindow="240" yWindow="105" windowWidth="14805" windowHeight="8010" activeTab="1"/>
  </bookViews>
  <sheets>
    <sheet name="Index" sheetId="1" r:id="rId1"/>
    <sheet name="1-ALM Login" sheetId="2" r:id="rId2"/>
    <sheet name="2-TCER TQC" sheetId="3" r:id="rId3"/>
    <sheet name="3-Defects TQC" sheetId="4" r:id="rId4"/>
    <sheet name="TCER data" sheetId="5" r:id="rId5"/>
    <sheet name="Defect data" sheetId="6" r:id="rId6"/>
  </sheets>
  <functionGroups builtInGroupCount="18"/>
  <definedNames>
    <definedName name="_xlnm._FilterDatabase" localSheetId="2" hidden="1">'2-TCER TQC'!$D$1:$L$230</definedName>
    <definedName name="_xlnm._FilterDatabase" localSheetId="4" hidden="1">'TCER data'!$A$1:$K$498</definedName>
  </definedNames>
  <calcPr calcId="152511"/>
  <pivotCaches>
    <pivotCache cacheId="82" r:id="rId7"/>
    <pivotCache cacheId="88" r:id="rId8"/>
  </pivotCaches>
</workbook>
</file>

<file path=xl/calcChain.xml><?xml version="1.0" encoding="utf-8"?>
<calcChain xmlns="http://schemas.openxmlformats.org/spreadsheetml/2006/main">
  <c r="N5" i="6" l="1"/>
  <c r="N3" i="6" l="1"/>
  <c r="N2" i="6"/>
  <c r="K8" i="5"/>
  <c r="K6" i="5"/>
  <c r="K5" i="5"/>
  <c r="K2" i="5"/>
  <c r="K3" i="5"/>
  <c r="N4" i="6" l="1"/>
  <c r="N6" i="6"/>
  <c r="K4" i="5"/>
  <c r="K7" i="5"/>
</calcChain>
</file>

<file path=xl/comments1.xml><?xml version="1.0" encoding="utf-8"?>
<comments xmlns="http://schemas.openxmlformats.org/spreadsheetml/2006/main">
  <authors>
    <author>Acharya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Click button to generate TCER TQC report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 xml:space="preserve">Refer ACTIONS column for correcting the corresponding test case
</t>
        </r>
      </text>
    </comment>
  </commentList>
</comments>
</file>

<file path=xl/comments2.xml><?xml version="1.0" encoding="utf-8"?>
<comments xmlns="http://schemas.openxmlformats.org/spreadsheetml/2006/main">
  <authors>
    <author>Acharya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Click button to generate Defects TQC report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Refer ACTION column for correcting the corresponding defect</t>
        </r>
      </text>
    </comment>
  </commentList>
</comments>
</file>

<file path=xl/sharedStrings.xml><?xml version="1.0" encoding="utf-8"?>
<sst xmlns="http://schemas.openxmlformats.org/spreadsheetml/2006/main" count="273" uniqueCount="115">
  <si>
    <t>http://tstprdappw001.optus.com.au:8080/qcbin</t>
  </si>
  <si>
    <t>AAAAAAAAC%</t>
  </si>
  <si>
    <t>TEST_ID</t>
  </si>
  <si>
    <t>TEST_STATUS</t>
  </si>
  <si>
    <t>TESTER</t>
  </si>
  <si>
    <t>ATTACHMENT</t>
  </si>
  <si>
    <t>DEFECT_ID</t>
  </si>
  <si>
    <t>DEFECT_STATUS</t>
  </si>
  <si>
    <t>GG071_HostedVoiceHPBX</t>
  </si>
  <si>
    <t>Y</t>
  </si>
  <si>
    <t>Failed</t>
  </si>
  <si>
    <t>TEST_NAME</t>
  </si>
  <si>
    <t>Open</t>
  </si>
  <si>
    <t>Closed</t>
  </si>
  <si>
    <t>Add attachment to test case or test step</t>
  </si>
  <si>
    <t>AAAAAPAAAAAB%</t>
  </si>
  <si>
    <t>TEST_PHASE</t>
  </si>
  <si>
    <t>SUMMARY</t>
  </si>
  <si>
    <t>STATUS</t>
  </si>
  <si>
    <t>DETECTED_BY</t>
  </si>
  <si>
    <t>SUBJECT</t>
  </si>
  <si>
    <t>4. UAT</t>
  </si>
  <si>
    <t>LINK_TYPE</t>
  </si>
  <si>
    <t>TESTCYCL</t>
  </si>
  <si>
    <t>DEFCT_ID</t>
  </si>
  <si>
    <t>ACTIONS</t>
  </si>
  <si>
    <t>Link defect to testcase or testplan or requirement</t>
  </si>
  <si>
    <t>Add attachment to defect</t>
  </si>
  <si>
    <t>Grand Total</t>
  </si>
  <si>
    <t>(All)</t>
  </si>
  <si>
    <t>Count of ACTIONS</t>
  </si>
  <si>
    <t>AAAAABAAD%</t>
  </si>
  <si>
    <t>TG004_EPL</t>
  </si>
  <si>
    <t>AAAAAPAAN%</t>
  </si>
  <si>
    <t>Enter your HP ALM credentials</t>
  </si>
  <si>
    <t>HP ALM URL:</t>
  </si>
  <si>
    <t>Login Name:</t>
  </si>
  <si>
    <t>Password:</t>
  </si>
  <si>
    <t>Domain:</t>
  </si>
  <si>
    <t>Project:</t>
  </si>
  <si>
    <r>
      <t xml:space="preserve">Test Lab Folder Id </t>
    </r>
    <r>
      <rPr>
        <sz val="9"/>
        <color theme="1"/>
        <rFont val="Calibri"/>
        <family val="2"/>
        <scheme val="minor"/>
      </rPr>
      <t>(for TCER TQC)</t>
    </r>
    <r>
      <rPr>
        <sz val="11"/>
        <color theme="1"/>
        <rFont val="Calibri"/>
        <family val="2"/>
        <scheme val="minor"/>
      </rPr>
      <t>:</t>
    </r>
  </si>
  <si>
    <r>
      <t xml:space="preserve">Test Plan Folder Id </t>
    </r>
    <r>
      <rPr>
        <sz val="9"/>
        <color theme="1"/>
        <rFont val="Calibri"/>
        <family val="2"/>
        <scheme val="minor"/>
      </rPr>
      <t>(for Defects TQC)</t>
    </r>
    <r>
      <rPr>
        <sz val="11"/>
        <color theme="1"/>
        <rFont val="Calibri"/>
        <family val="2"/>
        <scheme val="minor"/>
      </rPr>
      <t>:</t>
    </r>
  </si>
  <si>
    <t>Tool Details</t>
  </si>
  <si>
    <t>Name</t>
  </si>
  <si>
    <t>Project</t>
  </si>
  <si>
    <t>OPTUS - IVSBBAU</t>
  </si>
  <si>
    <t>Programming Language</t>
  </si>
  <si>
    <t>MS VBA, SQL</t>
  </si>
  <si>
    <t>Developed by</t>
  </si>
  <si>
    <t>Anand Acharya (aa00329461@techmahindra.com)</t>
  </si>
  <si>
    <t>Version Control</t>
  </si>
  <si>
    <t>Version</t>
  </si>
  <si>
    <t>Date</t>
  </si>
  <si>
    <t>Section &amp; Amendment Made</t>
  </si>
  <si>
    <t>Pre Requisites for the tool</t>
  </si>
  <si>
    <t>1. HP ALM Add-Ins “HP Quality Center Connectivity” and “HP ALM Client Registration” are installed in your machine.</t>
  </si>
  <si>
    <t>Initial draft to generate TCER and Defects TQC reports</t>
  </si>
  <si>
    <t>HP ALM Total Quality Control (TQC)</t>
  </si>
  <si>
    <t>Summary</t>
  </si>
  <si>
    <t>Total Pass</t>
  </si>
  <si>
    <t>Total Pass w/o attachment</t>
  </si>
  <si>
    <t>Total Pass with attachment</t>
  </si>
  <si>
    <t>Total Fail</t>
  </si>
  <si>
    <t>Total Fail with attachment</t>
  </si>
  <si>
    <t>Total Fail w/o attachment</t>
  </si>
  <si>
    <t>Total Fail w/o linked defect</t>
  </si>
  <si>
    <t>Total Defects</t>
  </si>
  <si>
    <t>Defects with attachment</t>
  </si>
  <si>
    <t>Defects w/o attachment</t>
  </si>
  <si>
    <t>Linked defects count</t>
  </si>
  <si>
    <t>thomas bosschart</t>
  </si>
  <si>
    <t>Thomas Bosschart</t>
  </si>
  <si>
    <t>Shraddha Javaria</t>
  </si>
  <si>
    <t>(eg: http://tstprdappw001.optus.com.au:8080/qcbin)</t>
  </si>
  <si>
    <t>(eg: anand acharya)</t>
  </si>
  <si>
    <t>(eg: optus123)</t>
  </si>
  <si>
    <t>(eg: ACTIVE_PROJECTS)</t>
  </si>
  <si>
    <t>(eg: TG004_EPL)</t>
  </si>
  <si>
    <t>(click "Test Lab Folder Id" button and enter the required folder Id eg: AAAAABAAD or AAAAABAAD% )</t>
  </si>
  <si>
    <t>(click "Test Plan Folder Id" button and enter the required folder Id eg: AAAAAPAAN or AAAAAPAAN%)</t>
  </si>
  <si>
    <t>Passed</t>
  </si>
  <si>
    <t>Update test case status to Passed or link new defect</t>
  </si>
  <si>
    <t>Update status of linked defect to closed</t>
  </si>
  <si>
    <t>Actions / Testers</t>
  </si>
  <si>
    <t>2. The excel workbook is not changed by deleting rows/columns or worksheets</t>
  </si>
  <si>
    <t>Unlinked defect count</t>
  </si>
  <si>
    <t>TEST_SET</t>
  </si>
  <si>
    <t>Set1</t>
  </si>
  <si>
    <t>Set2</t>
  </si>
  <si>
    <t>Set3</t>
  </si>
  <si>
    <t>Set4</t>
  </si>
  <si>
    <t>Set5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</si>
  <si>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</si>
  <si>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</si>
  <si>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</si>
  <si>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</si>
  <si>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</si>
  <si>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</si>
  <si>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</si>
  <si>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</si>
  <si>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</si>
  <si>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</si>
  <si>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</si>
  <si>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</si>
  <si>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Tester1</t>
  </si>
  <si>
    <t>Tester2</t>
  </si>
  <si>
    <t>Tester3</t>
  </si>
  <si>
    <t>Link test case to defect</t>
  </si>
  <si>
    <t>UAT1</t>
  </si>
  <si>
    <t>UAT2</t>
  </si>
  <si>
    <t>UAT3</t>
  </si>
  <si>
    <t>UAT4</t>
  </si>
  <si>
    <t>UAT5</t>
  </si>
  <si>
    <t>Sub1</t>
  </si>
  <si>
    <t>Sub2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</si>
</sst>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indexed="9"/>
      <name val="Calibri"/>
      <family val="2"/>
    </font>
    <font>
      <b/>
      <sz val="11"/>
      <color indexed="51"/>
      <name val="Calibri"/>
      <family val="2"/>
    </font>
    <font>
      <sz val="11"/>
      <color rgb="FF000000"/>
      <name val="Calibri"/>
      <family val="2"/>
    </font>
    <font>
      <u/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i/>
      <sz val="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2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1" xfId="0" applyFill="1" applyBorder="1"/>
    <xf numFmtId="0" fontId="1" fillId="3" borderId="1" xfId="1" applyFill="1" applyBorder="1"/>
    <xf numFmtId="0" fontId="0" fillId="3" borderId="1" xfId="0" applyFill="1" applyBorder="1"/>
    <xf numFmtId="0" fontId="4" fillId="0" borderId="0" xfId="0" applyFont="1" applyAlignment="1">
      <alignment horizontal="right"/>
    </xf>
    <xf numFmtId="0" fontId="0" fillId="0" borderId="1" xfId="0" applyFont="1" applyBorder="1" applyAlignment="1">
      <alignment horizontal="left"/>
    </xf>
    <xf numFmtId="0" fontId="0" fillId="0" borderId="4" xfId="0" applyBorder="1"/>
    <xf numFmtId="0" fontId="0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/>
    </xf>
    <xf numFmtId="0" fontId="0" fillId="0" borderId="5" xfId="0" applyBorder="1"/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6" xfId="0" applyBorder="1"/>
    <xf numFmtId="0" fontId="0" fillId="0" borderId="1" xfId="0" applyBorder="1"/>
    <xf numFmtId="0" fontId="10" fillId="8" borderId="1" xfId="0" applyFont="1" applyFill="1" applyBorder="1"/>
    <xf numFmtId="0" fontId="0" fillId="8" borderId="1" xfId="0" applyFill="1" applyBorder="1"/>
    <xf numFmtId="0" fontId="0" fillId="7" borderId="1" xfId="0" applyFill="1" applyBorder="1"/>
    <xf numFmtId="0" fontId="2" fillId="0" borderId="0" xfId="0" applyFont="1"/>
    <xf numFmtId="0" fontId="2" fillId="9" borderId="0" xfId="0" applyFont="1" applyFill="1"/>
    <xf numFmtId="0" fontId="12" fillId="2" borderId="0" xfId="0" applyFont="1" applyFill="1" applyProtection="1"/>
    <xf numFmtId="0" fontId="5" fillId="5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647700</xdr:colOff>
      <xdr:row>2</xdr:row>
      <xdr:rowOff>9525</xdr:rowOff>
    </xdr:from>
    <xdr:to>
      <xdr:col>3</xdr:col>
      <xdr:colOff>647700</xdr:colOff>
      <xdr:row>6</xdr:row>
      <xdr:rowOff>133350</xdr:rowOff>
    </xdr:to>
    <xdr:pic>
      <xdr:nvPicPr>
        <xdr:cNvPr id="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390525"/>
          <a:ext cx="0" cy="695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171450</xdr:rowOff>
        </xdr:from>
        <xdr:to>
          <xdr:col>0</xdr:col>
          <xdr:colOff>1314450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Test </a:t>
              </a:r>
              <a:r>
                <a:rPr lang="en-US" sz="1100" b="0" i="0" u="sng" strike="noStrike" baseline="0">
                  <a:solidFill>
                    <a:srgbClr val="000000"/>
                  </a:solidFill>
                  <a:latin typeface="Calibri"/>
                </a:rPr>
                <a:t>Lab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11</xdr:row>
          <xdr:rowOff>0</xdr:rowOff>
        </xdr:from>
        <xdr:to>
          <xdr:col>0</xdr:col>
          <xdr:colOff>1314450</xdr:colOff>
          <xdr:row>12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Test </a:t>
              </a:r>
              <a:r>
                <a:rPr lang="en-US" sz="1100" b="0" i="0" u="sng" strike="noStrike" baseline="0">
                  <a:solidFill>
                    <a:srgbClr val="000000"/>
                  </a:solidFill>
                  <a:latin typeface="Calibri"/>
                </a:rPr>
                <a:t>Plan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1704975</xdr:colOff>
          <xdr:row>10</xdr:row>
          <xdr:rowOff>9525</xdr:rowOff>
        </xdr:from>
        <xdr:to>
          <xdr:col>1</xdr:col>
          <xdr:colOff>447675</xdr:colOff>
          <xdr:row>11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Folders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895350</xdr:colOff>
          <xdr:row>10</xdr:row>
          <xdr:rowOff>0</xdr:rowOff>
        </xdr:from>
        <xdr:to>
          <xdr:col>1</xdr:col>
          <xdr:colOff>1819275</xdr:colOff>
          <xdr:row>11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57150</xdr:rowOff>
        </xdr:from>
        <xdr:to>
          <xdr:col>0</xdr:col>
          <xdr:colOff>1943100</xdr:colOff>
          <xdr:row>1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Generate TCER TQC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28575</xdr:rowOff>
        </xdr:from>
        <xdr:to>
          <xdr:col>0</xdr:col>
          <xdr:colOff>1666875</xdr:colOff>
          <xdr:row>1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Generate Defects TQC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OnLoad="1" refreshedBy="Acharya" refreshedDate="42637.814021990744" missingItemsLimit="0" createdVersion="5" refreshedVersion="5" minRefreshableVersion="3" recordCount="13">
  <cacheSource type="worksheet">
    <worksheetSource ref="D1:K1048576" sheet="3-Defects TQC"/>
  </cacheSource>
  <cacheFields count="8">
    <cacheField name="TEST_PHASE" numFmtId="0">
      <sharedItems containsBlank="1" count="2">
        <s v="4. UAT"/>
        <m/>
      </sharedItems>
    </cacheField>
    <cacheField name="DEFCT_ID" numFmtId="0">
      <sharedItems containsString="0" containsBlank="1" containsNumber="1" containsInteger="1" minValue="2" maxValue="5"/>
    </cacheField>
    <cacheField name="SUMMARY" numFmtId="0">
      <sharedItems containsBlank="1"/>
    </cacheField>
    <cacheField name="STATUS" numFmtId="0">
      <sharedItems containsBlank="1" count="3">
        <s v="Closed"/>
        <s v="Open"/>
        <m/>
      </sharedItems>
    </cacheField>
    <cacheField name="DETECTED_BY" numFmtId="0">
      <sharedItems containsBlank="1" count="3">
        <s v="Tester1"/>
        <s v="Tester3"/>
        <m/>
      </sharedItems>
    </cacheField>
    <cacheField name="SUBJECT" numFmtId="0">
      <sharedItems containsBlank="1" count="3">
        <s v="Sub1"/>
        <s v="Sub2"/>
        <m/>
      </sharedItems>
    </cacheField>
    <cacheField name="ATTACHMENT" numFmtId="0">
      <sharedItems containsNonDate="0" containsString="0" containsBlank="1"/>
    </cacheField>
    <cacheField name="ACTIONS" numFmtId="0">
      <sharedItems containsBlank="1" count="3">
        <s v="Add attachment to defect"/>
        <s v="Link defect to testcase or testplan or requiremen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OnLoad="1" refreshedBy="Acharya" refreshedDate="42637.814022222221" missingItemsLimit="0" createdVersion="5" refreshedVersion="5" minRefreshableVersion="3" recordCount="33">
  <cacheSource type="worksheet">
    <worksheetSource ref="D1:L1048576" sheet="2-TCER TQC"/>
  </cacheSource>
  <cacheFields count="9">
    <cacheField name="TEST_SET" numFmtId="0">
      <sharedItems containsBlank="1" count="5">
        <s v="Set1"/>
        <s v="Set2"/>
        <s v="Set3"/>
        <s v="Set4"/>
        <m/>
      </sharedItems>
    </cacheField>
    <cacheField name="TEST_ID" numFmtId="0">
      <sharedItems containsString="0" containsBlank="1" containsNumber="1" containsInteger="1" minValue="73" maxValue="131"/>
    </cacheField>
    <cacheField name="TEST_NAME" numFmtId="0">
      <sharedItems containsBlank="1"/>
    </cacheField>
    <cacheField name="TESTER" numFmtId="0">
      <sharedItems containsBlank="1" count="4">
        <s v="Tester1"/>
        <s v="Tester2"/>
        <s v="Tester3"/>
        <m/>
      </sharedItems>
    </cacheField>
    <cacheField name="TEST_STATUS" numFmtId="0">
      <sharedItems containsBlank="1" count="3">
        <s v="Failed"/>
        <s v="Passed"/>
        <m/>
      </sharedItems>
    </cacheField>
    <cacheField name="ATTACHMENT" numFmtId="0">
      <sharedItems containsBlank="1"/>
    </cacheField>
    <cacheField name="DEFECT_ID" numFmtId="0">
      <sharedItems containsString="0" containsBlank="1" containsNumber="1" containsInteger="1" minValue="10" maxValue="13"/>
    </cacheField>
    <cacheField name="DEFECT_STATUS" numFmtId="0">
      <sharedItems containsBlank="1"/>
    </cacheField>
    <cacheField name="ACTIONS" numFmtId="0">
      <sharedItems containsBlank="1" count="5">
        <s v="Link test case to defect"/>
        <s v="Add attachment to test case or test step"/>
        <s v="Update status of linked defect to closed"/>
        <s v="Update test case status to Passed or link new defec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8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Actions / Testers">
  <location ref="A6:B17" firstHeaderRow="1" firstDataRow="1" firstDataCol="1" rowPageCount="2" colPageCount="1"/>
  <pivotFields count="9">
    <pivotField axis="axisPage" showAll="0" defaultSubtotal="0">
      <items count="5">
        <item x="4"/>
        <item x="0"/>
        <item x="1"/>
        <item x="2"/>
        <item x="3"/>
      </items>
    </pivotField>
    <pivotField showAll="0"/>
    <pivotField showAll="0"/>
    <pivotField axis="axisRow" showAll="0">
      <items count="5">
        <item x="3"/>
        <item x="0"/>
        <item x="1"/>
        <item x="2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Row" dataField="1" showAll="0">
      <items count="6">
        <item h="1" x="4"/>
        <item x="1"/>
        <item x="0"/>
        <item x="2"/>
        <item x="3"/>
        <item t="default"/>
      </items>
    </pivotField>
  </pivotFields>
  <rowFields count="2">
    <field x="8"/>
    <field x="3"/>
  </rowFields>
  <rowItems count="11">
    <i>
      <x v="1"/>
    </i>
    <i r="1">
      <x v="1"/>
    </i>
    <i r="1">
      <x v="2"/>
    </i>
    <i r="1">
      <x v="3"/>
    </i>
    <i>
      <x v="2"/>
    </i>
    <i r="1">
      <x v="1"/>
    </i>
    <i>
      <x v="3"/>
    </i>
    <i r="1">
      <x v="2"/>
    </i>
    <i>
      <x v="4"/>
    </i>
    <i r="1">
      <x v="2"/>
    </i>
    <i t="grand">
      <x/>
    </i>
  </rowItems>
  <colItems count="1">
    <i/>
  </colItems>
  <pageFields count="2">
    <pageField fld="0" hier="-1"/>
    <pageField fld="4" hier="-1"/>
  </pageFields>
  <dataFields count="1">
    <dataField name="Count of ACTIONS" fld="8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82" applyNumberFormats="0" applyBorderFormats="0" applyFontFormats="0" applyPatternFormats="0" applyAlignmentFormats="0" applyWidthHeightFormats="1" dataCaption="Values" updatedVersion="5" minRefreshableVersion="3" itemPrintTitles="1" createdVersion="5" indent="0" outline="1" outlineData="1" multipleFieldFilters="0" rowHeaderCaption="Actions / Testers">
  <location ref="A7:B13" firstHeaderRow="1" firstDataRow="1" firstDataCol="1" rowPageCount="3" colPageCount="1"/>
  <pivotFields count="8">
    <pivotField axis="axisPage" showAll="0">
      <items count="3">
        <item x="1"/>
        <item x="0"/>
        <item t="default"/>
      </items>
    </pivotField>
    <pivotField showAll="0"/>
    <pivotField showAll="0"/>
    <pivotField axis="axisPage" showAll="0">
      <items count="4">
        <item x="2"/>
        <item x="0"/>
        <item x="1"/>
        <item t="default"/>
      </items>
    </pivotField>
    <pivotField axis="axisRow" showAll="0">
      <items count="4">
        <item x="2"/>
        <item x="0"/>
        <item x="1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  <pivotField axis="axisRow" dataField="1" showAll="0">
      <items count="4">
        <item h="1" x="2"/>
        <item x="1"/>
        <item x="0"/>
        <item t="default"/>
      </items>
    </pivotField>
  </pivotFields>
  <rowFields count="2">
    <field x="7"/>
    <field x="4"/>
  </rowFields>
  <rowItems count="6">
    <i>
      <x v="1"/>
    </i>
    <i r="1">
      <x v="1"/>
    </i>
    <i r="1">
      <x v="2"/>
    </i>
    <i>
      <x v="2"/>
    </i>
    <i r="1">
      <x v="1"/>
    </i>
    <i t="grand">
      <x/>
    </i>
  </rowItems>
  <colItems count="1">
    <i/>
  </colItems>
  <pageFields count="3">
    <pageField fld="0" hier="-1"/>
    <pageField fld="5" hier="-1"/>
    <pageField fld="3" hier="-1"/>
  </pageFields>
  <dataFields count="1">
    <dataField name="Count of ACTIONS" fld="7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tstprdappw001.optus.com.au:8080/qcbin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14"/>
  <sheetViews>
    <sheetView workbookViewId="0">
      <selection activeCell="B14" sqref="B14"/>
    </sheetView>
  </sheetViews>
  <sheetFormatPr defaultRowHeight="15" x14ac:dyDescent="0.25"/>
  <cols>
    <col min="2" max="2" width="23.42578125" customWidth="1"/>
    <col min="3" max="3" width="26.28515625" customWidth="1"/>
    <col min="4" max="4" width="27.140625" customWidth="1"/>
  </cols>
  <sheetData>
    <row r="2" spans="2:4" x14ac:dyDescent="0.25">
      <c r="B2" s="28" t="s">
        <v>42</v>
      </c>
      <c r="C2" s="28"/>
    </row>
    <row r="3" spans="2:4" x14ac:dyDescent="0.25">
      <c r="B3" s="11" t="s">
        <v>43</v>
      </c>
      <c r="C3" s="12" t="s">
        <v>57</v>
      </c>
    </row>
    <row r="4" spans="2:4" x14ac:dyDescent="0.25">
      <c r="B4" s="11" t="s">
        <v>44</v>
      </c>
      <c r="C4" s="13" t="s">
        <v>45</v>
      </c>
    </row>
    <row r="5" spans="2:4" x14ac:dyDescent="0.25">
      <c r="B5" s="14" t="s">
        <v>46</v>
      </c>
      <c r="C5" s="12" t="s">
        <v>47</v>
      </c>
    </row>
    <row r="6" spans="2:4" x14ac:dyDescent="0.25">
      <c r="B6" s="15" t="s">
        <v>48</v>
      </c>
      <c r="C6" s="14" t="s">
        <v>49</v>
      </c>
    </row>
    <row r="8" spans="2:4" x14ac:dyDescent="0.25">
      <c r="B8" s="28" t="s">
        <v>50</v>
      </c>
      <c r="C8" s="28"/>
      <c r="D8" s="28"/>
    </row>
    <row r="9" spans="2:4" x14ac:dyDescent="0.25">
      <c r="B9" s="16" t="s">
        <v>51</v>
      </c>
      <c r="C9" s="16" t="s">
        <v>52</v>
      </c>
      <c r="D9" s="16" t="s">
        <v>53</v>
      </c>
    </row>
    <row r="10" spans="2:4" x14ac:dyDescent="0.25">
      <c r="B10" s="17">
        <v>0.1</v>
      </c>
      <c r="C10" s="18">
        <v>42636</v>
      </c>
      <c r="D10" s="19" t="s">
        <v>56</v>
      </c>
    </row>
    <row r="12" spans="2:4" x14ac:dyDescent="0.25">
      <c r="B12" s="28" t="s">
        <v>54</v>
      </c>
      <c r="C12" s="28"/>
    </row>
    <row r="13" spans="2:4" x14ac:dyDescent="0.25">
      <c r="B13" s="20" t="s">
        <v>55</v>
      </c>
      <c r="C13" s="12"/>
    </row>
    <row r="14" spans="2:4" x14ac:dyDescent="0.25">
      <c r="B14" s="11" t="s">
        <v>84</v>
      </c>
      <c r="C14" s="13"/>
    </row>
  </sheetData>
  <mergeCells count="3">
    <mergeCell ref="B2:C2"/>
    <mergeCell ref="B8:D8"/>
    <mergeCell ref="B12:C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3"/>
  <sheetViews>
    <sheetView tabSelected="1" workbookViewId="0">
      <selection activeCell="A22" sqref="A22"/>
    </sheetView>
  </sheetViews>
  <sheetFormatPr defaultRowHeight="15" x14ac:dyDescent="0.25"/>
  <cols>
    <col min="1" max="1" width="33" customWidth="1"/>
    <col min="2" max="2" width="27.85546875" customWidth="1"/>
    <col min="3" max="3" width="16.42578125" customWidth="1"/>
  </cols>
  <sheetData>
    <row r="1" spans="1:11" s="6" customFormat="1" x14ac:dyDescent="0.25">
      <c r="A1" s="29" t="s">
        <v>34</v>
      </c>
      <c r="B1" s="30"/>
    </row>
    <row r="2" spans="1:11" s="6" customFormat="1" x14ac:dyDescent="0.25">
      <c r="A2" s="7" t="s">
        <v>35</v>
      </c>
      <c r="B2" s="8" t="s">
        <v>0</v>
      </c>
      <c r="D2" s="27" t="s">
        <v>73</v>
      </c>
    </row>
    <row r="3" spans="1:11" s="6" customFormat="1" x14ac:dyDescent="0.25">
      <c r="A3" s="7" t="s">
        <v>36</v>
      </c>
      <c r="B3" s="9"/>
      <c r="D3" s="27" t="s">
        <v>74</v>
      </c>
      <c r="K3" s="6" t="s">
        <v>32</v>
      </c>
    </row>
    <row r="4" spans="1:11" s="6" customFormat="1" x14ac:dyDescent="0.25">
      <c r="A4" s="7" t="s">
        <v>37</v>
      </c>
      <c r="B4" s="9"/>
      <c r="D4" s="27" t="s">
        <v>75</v>
      </c>
      <c r="K4" s="6" t="s">
        <v>31</v>
      </c>
    </row>
    <row r="5" spans="1:11" s="6" customFormat="1" x14ac:dyDescent="0.25">
      <c r="A5" s="7" t="s">
        <v>38</v>
      </c>
      <c r="B5" s="9"/>
      <c r="D5" s="27" t="s">
        <v>76</v>
      </c>
      <c r="K5" s="6" t="s">
        <v>33</v>
      </c>
    </row>
    <row r="6" spans="1:11" s="6" customFormat="1" x14ac:dyDescent="0.25">
      <c r="A6" s="7" t="s">
        <v>39</v>
      </c>
      <c r="B6" s="9"/>
      <c r="D6" s="27" t="s">
        <v>77</v>
      </c>
      <c r="K6" s="6" t="s">
        <v>8</v>
      </c>
    </row>
    <row r="7" spans="1:11" s="6" customFormat="1" x14ac:dyDescent="0.25">
      <c r="A7" s="7" t="s">
        <v>40</v>
      </c>
      <c r="B7" s="9"/>
      <c r="D7" s="27" t="s">
        <v>78</v>
      </c>
      <c r="K7" s="6" t="s">
        <v>1</v>
      </c>
    </row>
    <row r="8" spans="1:11" s="6" customFormat="1" x14ac:dyDescent="0.25">
      <c r="A8" s="7" t="s">
        <v>41</v>
      </c>
      <c r="B8" s="9"/>
      <c r="D8" s="27" t="s">
        <v>79</v>
      </c>
      <c r="K8" s="6" t="s">
        <v>15</v>
      </c>
    </row>
    <row r="9" spans="1:11" s="6" customFormat="1" x14ac:dyDescent="0.25"/>
    <row r="10" spans="1:11" s="6" customFormat="1" x14ac:dyDescent="0.25"/>
    <row r="11" spans="1:11" s="6" customFormat="1" x14ac:dyDescent="0.25"/>
    <row r="12" spans="1:11" s="6" customFormat="1" x14ac:dyDescent="0.25"/>
    <row r="13" spans="1:11" s="6" customFormat="1" x14ac:dyDescent="0.25"/>
  </sheetData>
  <mergeCells count="1">
    <mergeCell ref="A1:B1"/>
  </mergeCells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heet2.FetchFolders">
                <anchor moveWithCells="1" sizeWithCells="1">
                  <from>
                    <xdr:col>0</xdr:col>
                    <xdr:colOff>47625</xdr:colOff>
                    <xdr:row>8</xdr:row>
                    <xdr:rowOff>171450</xdr:rowOff>
                  </from>
                  <to>
                    <xdr:col>0</xdr:col>
                    <xdr:colOff>1314450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Sheet2.FetchTestPlan">
                <anchor moveWithCells="1" sizeWithCells="1">
                  <from>
                    <xdr:col>0</xdr:col>
                    <xdr:colOff>57150</xdr:colOff>
                    <xdr:row>11</xdr:row>
                    <xdr:rowOff>0</xdr:rowOff>
                  </from>
                  <to>
                    <xdr:col>0</xdr:col>
                    <xdr:colOff>1314450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heet2.ResetFolder">
                <anchor moveWithCells="1" sizeWithCells="1">
                  <from>
                    <xdr:col>0</xdr:col>
                    <xdr:colOff>1704975</xdr:colOff>
                    <xdr:row>10</xdr:row>
                    <xdr:rowOff>9525</xdr:rowOff>
                  </from>
                  <to>
                    <xdr:col>1</xdr:col>
                    <xdr:colOff>447675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Sheet2.Reset">
                <anchor moveWithCells="1" sizeWithCells="1">
                  <from>
                    <xdr:col>1</xdr:col>
                    <xdr:colOff>895350</xdr:colOff>
                    <xdr:row>10</xdr:row>
                    <xdr:rowOff>0</xdr:rowOff>
                  </from>
                  <to>
                    <xdr:col>1</xdr:col>
                    <xdr:colOff>1819275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33"/>
  <sheetViews>
    <sheetView zoomScaleNormal="100" workbookViewId="0">
      <selection activeCell="A10" sqref="A10"/>
    </sheetView>
  </sheetViews>
  <sheetFormatPr defaultRowHeight="15" x14ac:dyDescent="0.25"/>
  <cols>
    <col min="1" max="1" width="49.85546875" customWidth="1"/>
    <col min="2" max="2" width="17" customWidth="1"/>
    <col min="3" max="3" width="10.7109375" customWidth="1"/>
    <col min="4" max="4" width="11.85546875" customWidth="1"/>
    <col min="5" max="5" width="10.42578125" customWidth="1"/>
    <col min="6" max="6" width="11.28515625" customWidth="1"/>
    <col min="7" max="7" width="12" customWidth="1"/>
    <col min="8" max="8" width="11.28515625" customWidth="1"/>
    <col min="9" max="9" width="11.28515625" bestFit="1" customWidth="1"/>
  </cols>
  <sheetData>
    <row r="1" spans="1:12" x14ac:dyDescent="0.25">
      <c r="A1" s="10"/>
      <c r="D1" s="26" t="s">
        <v>86</v>
      </c>
      <c r="E1" s="26" t="s">
        <v>2</v>
      </c>
      <c r="F1" s="26" t="s">
        <v>11</v>
      </c>
      <c r="G1" s="26" t="s">
        <v>4</v>
      </c>
      <c r="H1" s="26" t="s">
        <v>3</v>
      </c>
      <c r="I1" s="26" t="s">
        <v>5</v>
      </c>
      <c r="J1" s="26" t="s">
        <v>6</v>
      </c>
      <c r="K1" s="26" t="s">
        <v>7</v>
      </c>
      <c r="L1" s="26" t="s">
        <v>25</v>
      </c>
    </row>
    <row r="2" spans="1:12" x14ac:dyDescent="0.25">
      <c r="D2" t="s">
        <v>87</v>
      </c>
      <c r="E2">
        <v>85</v>
      </c>
      <c r="F2" t="s">
        <v>94</v>
      </c>
      <c r="G2" t="s">
        <v>104</v>
      </c>
      <c r="H2" t="s">
        <v>10</v>
      </c>
      <c r="I2" s="1" t="s">
        <v>9</v>
      </c>
      <c r="L2" t="s">
        <v>107</v>
      </c>
    </row>
    <row r="3" spans="1:12" x14ac:dyDescent="0.25">
      <c r="A3" s="2" t="s">
        <v>86</v>
      </c>
      <c r="B3" t="s">
        <v>29</v>
      </c>
      <c r="D3" t="s">
        <v>88</v>
      </c>
      <c r="E3">
        <v>94</v>
      </c>
      <c r="F3" t="s">
        <v>95</v>
      </c>
      <c r="G3" t="s">
        <v>105</v>
      </c>
      <c r="H3" t="s">
        <v>80</v>
      </c>
      <c r="I3" s="1"/>
      <c r="L3" t="s">
        <v>14</v>
      </c>
    </row>
    <row r="4" spans="1:12" x14ac:dyDescent="0.25">
      <c r="A4" s="2" t="s">
        <v>3</v>
      </c>
      <c r="B4" t="s">
        <v>29</v>
      </c>
      <c r="D4" t="s">
        <v>88</v>
      </c>
      <c r="E4">
        <v>103</v>
      </c>
      <c r="F4" t="s">
        <v>96</v>
      </c>
      <c r="G4" t="s">
        <v>105</v>
      </c>
      <c r="H4" t="s">
        <v>80</v>
      </c>
      <c r="I4" s="1" t="s">
        <v>9</v>
      </c>
      <c r="J4">
        <v>10</v>
      </c>
      <c r="K4" t="s">
        <v>12</v>
      </c>
      <c r="L4" t="s">
        <v>82</v>
      </c>
    </row>
    <row r="5" spans="1:12" x14ac:dyDescent="0.25">
      <c r="D5" t="s">
        <v>89</v>
      </c>
      <c r="E5">
        <v>121</v>
      </c>
      <c r="F5" t="s">
        <v>98</v>
      </c>
      <c r="G5" t="s">
        <v>104</v>
      </c>
      <c r="H5" t="s">
        <v>10</v>
      </c>
      <c r="I5" s="1"/>
      <c r="L5" t="s">
        <v>14</v>
      </c>
    </row>
    <row r="6" spans="1:12" x14ac:dyDescent="0.25">
      <c r="A6" s="2" t="s">
        <v>83</v>
      </c>
      <c r="B6" t="s">
        <v>30</v>
      </c>
      <c r="D6" t="s">
        <v>89</v>
      </c>
      <c r="E6">
        <v>131</v>
      </c>
      <c r="F6" t="s">
        <v>99</v>
      </c>
      <c r="G6" t="s">
        <v>106</v>
      </c>
      <c r="H6" t="s">
        <v>10</v>
      </c>
      <c r="I6" s="1"/>
      <c r="J6">
        <v>12</v>
      </c>
      <c r="K6" t="s">
        <v>12</v>
      </c>
      <c r="L6" t="s">
        <v>14</v>
      </c>
    </row>
    <row r="7" spans="1:12" x14ac:dyDescent="0.25">
      <c r="A7" s="3" t="s">
        <v>14</v>
      </c>
      <c r="B7" s="4">
        <v>3</v>
      </c>
      <c r="D7" t="s">
        <v>90</v>
      </c>
      <c r="E7">
        <v>73</v>
      </c>
      <c r="F7" t="s">
        <v>102</v>
      </c>
      <c r="G7" t="s">
        <v>105</v>
      </c>
      <c r="H7" t="s">
        <v>10</v>
      </c>
      <c r="I7" s="1" t="s">
        <v>9</v>
      </c>
      <c r="J7">
        <v>13</v>
      </c>
      <c r="K7" t="s">
        <v>13</v>
      </c>
      <c r="L7" t="s">
        <v>81</v>
      </c>
    </row>
    <row r="8" spans="1:12" x14ac:dyDescent="0.25">
      <c r="A8" s="5" t="s">
        <v>104</v>
      </c>
      <c r="B8" s="4">
        <v>1</v>
      </c>
      <c r="I8" s="1"/>
    </row>
    <row r="9" spans="1:12" x14ac:dyDescent="0.25">
      <c r="A9" s="5" t="s">
        <v>105</v>
      </c>
      <c r="B9" s="4">
        <v>1</v>
      </c>
      <c r="I9" s="1"/>
    </row>
    <row r="10" spans="1:12" x14ac:dyDescent="0.25">
      <c r="A10" s="5" t="s">
        <v>106</v>
      </c>
      <c r="B10" s="4">
        <v>1</v>
      </c>
      <c r="I10" s="1"/>
    </row>
    <row r="11" spans="1:12" x14ac:dyDescent="0.25">
      <c r="A11" s="3" t="s">
        <v>107</v>
      </c>
      <c r="B11" s="4">
        <v>1</v>
      </c>
      <c r="I11" s="1"/>
    </row>
    <row r="12" spans="1:12" x14ac:dyDescent="0.25">
      <c r="A12" s="5" t="s">
        <v>104</v>
      </c>
      <c r="B12" s="4">
        <v>1</v>
      </c>
      <c r="I12" s="1"/>
    </row>
    <row r="13" spans="1:12" x14ac:dyDescent="0.25">
      <c r="A13" s="3" t="s">
        <v>82</v>
      </c>
      <c r="B13" s="4">
        <v>1</v>
      </c>
      <c r="I13" s="1"/>
    </row>
    <row r="14" spans="1:12" x14ac:dyDescent="0.25">
      <c r="A14" s="5" t="s">
        <v>105</v>
      </c>
      <c r="B14" s="4">
        <v>1</v>
      </c>
      <c r="I14" s="1"/>
    </row>
    <row r="15" spans="1:12" x14ac:dyDescent="0.25">
      <c r="A15" s="3" t="s">
        <v>81</v>
      </c>
      <c r="B15" s="4">
        <v>1</v>
      </c>
      <c r="I15" s="1"/>
    </row>
    <row r="16" spans="1:12" x14ac:dyDescent="0.25">
      <c r="A16" s="5" t="s">
        <v>105</v>
      </c>
      <c r="B16" s="4">
        <v>1</v>
      </c>
      <c r="I16" s="1"/>
    </row>
    <row r="17" spans="1:9" x14ac:dyDescent="0.25">
      <c r="A17" s="3" t="s">
        <v>28</v>
      </c>
      <c r="B17" s="4">
        <v>6</v>
      </c>
      <c r="I17" s="1"/>
    </row>
    <row r="18" spans="1:9" x14ac:dyDescent="0.25">
      <c r="I18" s="1"/>
    </row>
    <row r="19" spans="1:9" x14ac:dyDescent="0.25">
      <c r="I19" s="1"/>
    </row>
    <row r="20" spans="1:9" x14ac:dyDescent="0.25">
      <c r="I20" s="1"/>
    </row>
    <row r="21" spans="1:9" x14ac:dyDescent="0.25">
      <c r="I21" s="1"/>
    </row>
    <row r="22" spans="1:9" x14ac:dyDescent="0.25">
      <c r="I22" s="1"/>
    </row>
    <row r="23" spans="1:9" x14ac:dyDescent="0.25">
      <c r="I23" s="1"/>
    </row>
    <row r="24" spans="1:9" x14ac:dyDescent="0.25">
      <c r="I24" s="1"/>
    </row>
    <row r="25" spans="1:9" x14ac:dyDescent="0.25">
      <c r="I25" s="1"/>
    </row>
    <row r="26" spans="1:9" x14ac:dyDescent="0.25">
      <c r="I26" s="1"/>
    </row>
    <row r="27" spans="1:9" x14ac:dyDescent="0.25">
      <c r="I27" s="1"/>
    </row>
    <row r="28" spans="1:9" x14ac:dyDescent="0.25">
      <c r="I28" s="1"/>
    </row>
    <row r="29" spans="1:9" x14ac:dyDescent="0.25">
      <c r="I29" s="1"/>
    </row>
    <row r="30" spans="1:9" x14ac:dyDescent="0.25">
      <c r="I30" s="1"/>
    </row>
    <row r="31" spans="1:9" x14ac:dyDescent="0.25">
      <c r="I31" s="1"/>
    </row>
    <row r="32" spans="1:9" x14ac:dyDescent="0.25">
      <c r="I32" s="1"/>
    </row>
    <row r="33" spans="9:9" x14ac:dyDescent="0.25">
      <c r="I33" s="1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TCER_TQC">
                <anchor moveWithCells="1" sizeWithCells="1">
                  <from>
                    <xdr:col>0</xdr:col>
                    <xdr:colOff>38100</xdr:colOff>
                    <xdr:row>0</xdr:row>
                    <xdr:rowOff>57150</xdr:rowOff>
                  </from>
                  <to>
                    <xdr:col>0</xdr:col>
                    <xdr:colOff>1943100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3"/>
  <sheetViews>
    <sheetView workbookViewId="0">
      <selection activeCell="B10" sqref="B10"/>
    </sheetView>
  </sheetViews>
  <sheetFormatPr defaultRowHeight="15" x14ac:dyDescent="0.25"/>
  <cols>
    <col min="1" max="1" width="49.28515625" customWidth="1"/>
    <col min="2" max="2" width="17" customWidth="1"/>
  </cols>
  <sheetData>
    <row r="1" spans="1:11" x14ac:dyDescent="0.25">
      <c r="A1" s="10"/>
      <c r="D1" s="26" t="s">
        <v>16</v>
      </c>
      <c r="E1" s="26" t="s">
        <v>24</v>
      </c>
      <c r="F1" s="26" t="s">
        <v>17</v>
      </c>
      <c r="G1" s="26" t="s">
        <v>18</v>
      </c>
      <c r="H1" s="26" t="s">
        <v>19</v>
      </c>
      <c r="I1" s="26" t="s">
        <v>20</v>
      </c>
      <c r="J1" s="26" t="s">
        <v>5</v>
      </c>
      <c r="K1" s="26" t="s">
        <v>25</v>
      </c>
    </row>
    <row r="2" spans="1:11" x14ac:dyDescent="0.25">
      <c r="D2" t="s">
        <v>21</v>
      </c>
      <c r="E2">
        <v>2</v>
      </c>
      <c r="F2" t="s">
        <v>108</v>
      </c>
      <c r="G2" t="s">
        <v>13</v>
      </c>
      <c r="H2" t="s">
        <v>104</v>
      </c>
      <c r="I2" t="s">
        <v>113</v>
      </c>
      <c r="K2" t="s">
        <v>27</v>
      </c>
    </row>
    <row r="3" spans="1:11" x14ac:dyDescent="0.25">
      <c r="A3" s="2" t="s">
        <v>16</v>
      </c>
      <c r="B3" t="s">
        <v>29</v>
      </c>
      <c r="D3" t="s">
        <v>21</v>
      </c>
      <c r="E3">
        <v>3</v>
      </c>
      <c r="F3" t="s">
        <v>109</v>
      </c>
      <c r="G3" t="s">
        <v>13</v>
      </c>
      <c r="H3" t="s">
        <v>104</v>
      </c>
      <c r="I3" t="s">
        <v>113</v>
      </c>
      <c r="K3" t="s">
        <v>27</v>
      </c>
    </row>
    <row r="4" spans="1:11" x14ac:dyDescent="0.25">
      <c r="A4" s="2" t="s">
        <v>20</v>
      </c>
      <c r="B4" t="s">
        <v>29</v>
      </c>
      <c r="D4" t="s">
        <v>21</v>
      </c>
      <c r="E4">
        <v>3</v>
      </c>
      <c r="F4" t="s">
        <v>109</v>
      </c>
      <c r="G4" t="s">
        <v>13</v>
      </c>
      <c r="H4" t="s">
        <v>104</v>
      </c>
      <c r="I4" t="s">
        <v>113</v>
      </c>
      <c r="K4" t="s">
        <v>26</v>
      </c>
    </row>
    <row r="5" spans="1:11" x14ac:dyDescent="0.25">
      <c r="A5" s="2" t="s">
        <v>18</v>
      </c>
      <c r="B5" t="s">
        <v>29</v>
      </c>
      <c r="D5" t="s">
        <v>21</v>
      </c>
      <c r="E5">
        <v>5</v>
      </c>
      <c r="F5" t="s">
        <v>111</v>
      </c>
      <c r="G5" t="s">
        <v>12</v>
      </c>
      <c r="H5" t="s">
        <v>106</v>
      </c>
      <c r="I5" t="s">
        <v>114</v>
      </c>
      <c r="K5" t="s">
        <v>26</v>
      </c>
    </row>
    <row r="7" spans="1:11" x14ac:dyDescent="0.25">
      <c r="A7" s="2" t="s">
        <v>83</v>
      </c>
      <c r="B7" t="s">
        <v>30</v>
      </c>
    </row>
    <row r="8" spans="1:11" x14ac:dyDescent="0.25">
      <c r="A8" s="3" t="s">
        <v>26</v>
      </c>
      <c r="B8" s="4">
        <v>2</v>
      </c>
    </row>
    <row r="9" spans="1:11" x14ac:dyDescent="0.25">
      <c r="A9" s="5" t="s">
        <v>104</v>
      </c>
      <c r="B9" s="4">
        <v>1</v>
      </c>
    </row>
    <row r="10" spans="1:11" x14ac:dyDescent="0.25">
      <c r="A10" s="5" t="s">
        <v>106</v>
      </c>
      <c r="B10" s="4">
        <v>1</v>
      </c>
    </row>
    <row r="11" spans="1:11" x14ac:dyDescent="0.25">
      <c r="A11" s="3" t="s">
        <v>27</v>
      </c>
      <c r="B11" s="4">
        <v>2</v>
      </c>
    </row>
    <row r="12" spans="1:11" x14ac:dyDescent="0.25">
      <c r="A12" s="5" t="s">
        <v>104</v>
      </c>
      <c r="B12" s="4">
        <v>2</v>
      </c>
    </row>
    <row r="13" spans="1:11" x14ac:dyDescent="0.25">
      <c r="A13" s="3" t="s">
        <v>28</v>
      </c>
      <c r="B13" s="4">
        <v>4</v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Sheet4.Defects_TQC">
                <anchor moveWithCells="1" sizeWithCells="1"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0</xdr:col>
                    <xdr:colOff>1666875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46"/>
  <sheetViews>
    <sheetView workbookViewId="0">
      <selection activeCell="A12" sqref="A12"/>
    </sheetView>
  </sheetViews>
  <sheetFormatPr defaultRowHeight="15" x14ac:dyDescent="0.25"/>
  <cols>
    <col min="6" max="6" width="13.85546875" customWidth="1"/>
    <col min="8" max="8" width="10.28515625" bestFit="1" customWidth="1"/>
    <col min="10" max="10" width="26.5703125" customWidth="1"/>
  </cols>
  <sheetData>
    <row r="1" spans="1:11" x14ac:dyDescent="0.25">
      <c r="A1" s="25" t="s">
        <v>86</v>
      </c>
      <c r="B1" s="25" t="s">
        <v>2</v>
      </c>
      <c r="C1" s="25" t="s">
        <v>11</v>
      </c>
      <c r="D1" s="25" t="s">
        <v>4</v>
      </c>
      <c r="E1" s="25" t="s">
        <v>3</v>
      </c>
      <c r="F1" s="25" t="s">
        <v>5</v>
      </c>
      <c r="G1" s="25" t="s">
        <v>6</v>
      </c>
      <c r="H1" s="25" t="s">
        <v>7</v>
      </c>
      <c r="I1" s="25"/>
      <c r="J1" s="31" t="s">
        <v>58</v>
      </c>
      <c r="K1" s="31"/>
    </row>
    <row r="2" spans="1:11" x14ac:dyDescent="0.25">
      <c r="A2" t="s">
        <v>87</v>
      </c>
      <c r="B2">
        <v>67</v>
      </c>
      <c r="C2" t="s">
        <v>92</v>
      </c>
      <c r="D2" t="s">
        <v>104</v>
      </c>
      <c r="E2" t="s">
        <v>80</v>
      </c>
      <c r="F2" s="1" t="s">
        <v>9</v>
      </c>
      <c r="J2" s="21" t="s">
        <v>59</v>
      </c>
      <c r="K2" s="21">
        <f>COUNTIF(E:E,"Passed")</f>
        <v>8</v>
      </c>
    </row>
    <row r="3" spans="1:11" x14ac:dyDescent="0.25">
      <c r="A3" t="s">
        <v>87</v>
      </c>
      <c r="B3">
        <v>76</v>
      </c>
      <c r="C3" t="s">
        <v>93</v>
      </c>
      <c r="D3" t="s">
        <v>104</v>
      </c>
      <c r="E3" t="s">
        <v>80</v>
      </c>
      <c r="F3" s="1" t="s">
        <v>9</v>
      </c>
      <c r="J3" s="21" t="s">
        <v>61</v>
      </c>
      <c r="K3" s="21">
        <f>COUNTIFS(E:E,"Passed",F:F,"Y")</f>
        <v>6</v>
      </c>
    </row>
    <row r="4" spans="1:11" x14ac:dyDescent="0.25">
      <c r="A4" t="s">
        <v>87</v>
      </c>
      <c r="B4">
        <v>85</v>
      </c>
      <c r="C4" t="s">
        <v>94</v>
      </c>
      <c r="D4" t="s">
        <v>104</v>
      </c>
      <c r="E4" t="s">
        <v>10</v>
      </c>
      <c r="F4" s="1" t="s">
        <v>9</v>
      </c>
      <c r="J4" s="21" t="s">
        <v>60</v>
      </c>
      <c r="K4" s="22">
        <f>K2-K3</f>
        <v>2</v>
      </c>
    </row>
    <row r="5" spans="1:11" x14ac:dyDescent="0.25">
      <c r="A5" t="s">
        <v>88</v>
      </c>
      <c r="B5">
        <v>94</v>
      </c>
      <c r="C5" t="s">
        <v>95</v>
      </c>
      <c r="D5" t="s">
        <v>105</v>
      </c>
      <c r="E5" t="s">
        <v>80</v>
      </c>
      <c r="F5" s="1"/>
      <c r="J5" s="21" t="s">
        <v>62</v>
      </c>
      <c r="K5" s="21">
        <f>COUNTIF(E:E,"Failed")</f>
        <v>4</v>
      </c>
    </row>
    <row r="6" spans="1:11" x14ac:dyDescent="0.25">
      <c r="A6" t="s">
        <v>88</v>
      </c>
      <c r="B6">
        <v>103</v>
      </c>
      <c r="C6" t="s">
        <v>96</v>
      </c>
      <c r="D6" t="s">
        <v>105</v>
      </c>
      <c r="E6" t="s">
        <v>80</v>
      </c>
      <c r="F6" s="1" t="s">
        <v>9</v>
      </c>
      <c r="G6">
        <v>10</v>
      </c>
      <c r="H6" t="s">
        <v>12</v>
      </c>
      <c r="J6" s="21" t="s">
        <v>63</v>
      </c>
      <c r="K6" s="21">
        <f>COUNTIFS(E:E,"Failed",F:F,"Y")</f>
        <v>2</v>
      </c>
    </row>
    <row r="7" spans="1:11" x14ac:dyDescent="0.25">
      <c r="A7" t="s">
        <v>88</v>
      </c>
      <c r="B7">
        <v>112</v>
      </c>
      <c r="C7" t="s">
        <v>97</v>
      </c>
      <c r="D7" t="s">
        <v>104</v>
      </c>
      <c r="E7" t="s">
        <v>80</v>
      </c>
      <c r="F7" s="1" t="s">
        <v>9</v>
      </c>
      <c r="G7">
        <v>11</v>
      </c>
      <c r="H7" t="s">
        <v>13</v>
      </c>
      <c r="J7" s="21" t="s">
        <v>64</v>
      </c>
      <c r="K7" s="23">
        <f>K5-K6</f>
        <v>2</v>
      </c>
    </row>
    <row r="8" spans="1:11" x14ac:dyDescent="0.25">
      <c r="A8" t="s">
        <v>89</v>
      </c>
      <c r="B8">
        <v>121</v>
      </c>
      <c r="C8" t="s">
        <v>98</v>
      </c>
      <c r="D8" t="s">
        <v>104</v>
      </c>
      <c r="E8" t="s">
        <v>10</v>
      </c>
      <c r="F8" s="1"/>
      <c r="J8" s="21" t="s">
        <v>65</v>
      </c>
      <c r="K8" s="23">
        <f>COUNTIFS(E:E,"Failed",G:G,"")</f>
        <v>2</v>
      </c>
    </row>
    <row r="9" spans="1:11" x14ac:dyDescent="0.25">
      <c r="A9" t="s">
        <v>89</v>
      </c>
      <c r="B9">
        <v>131</v>
      </c>
      <c r="C9" t="s">
        <v>99</v>
      </c>
      <c r="D9" t="s">
        <v>106</v>
      </c>
      <c r="E9" t="s">
        <v>10</v>
      </c>
      <c r="F9" s="1"/>
      <c r="G9">
        <v>12</v>
      </c>
      <c r="H9" t="s">
        <v>12</v>
      </c>
    </row>
    <row r="10" spans="1:11" x14ac:dyDescent="0.25">
      <c r="A10" t="s">
        <v>90</v>
      </c>
      <c r="B10">
        <v>141</v>
      </c>
      <c r="C10" t="s">
        <v>100</v>
      </c>
      <c r="D10" t="s">
        <v>106</v>
      </c>
      <c r="E10" t="s">
        <v>80</v>
      </c>
      <c r="F10" s="1" t="s">
        <v>9</v>
      </c>
    </row>
    <row r="11" spans="1:11" x14ac:dyDescent="0.25">
      <c r="A11" t="s">
        <v>90</v>
      </c>
      <c r="B11">
        <v>64</v>
      </c>
      <c r="C11" t="s">
        <v>101</v>
      </c>
      <c r="D11" t="s">
        <v>105</v>
      </c>
      <c r="E11" t="s">
        <v>80</v>
      </c>
      <c r="F11" s="1" t="s">
        <v>9</v>
      </c>
    </row>
    <row r="12" spans="1:11" x14ac:dyDescent="0.25">
      <c r="A12" t="s">
        <v>90</v>
      </c>
      <c r="B12">
        <v>73</v>
      </c>
      <c r="C12" t="s">
        <v>102</v>
      </c>
      <c r="D12" t="s">
        <v>105</v>
      </c>
      <c r="E12" t="s">
        <v>10</v>
      </c>
      <c r="F12" s="1" t="s">
        <v>9</v>
      </c>
      <c r="G12">
        <v>13</v>
      </c>
      <c r="H12" t="s">
        <v>13</v>
      </c>
    </row>
    <row r="13" spans="1:11" x14ac:dyDescent="0.25">
      <c r="A13" t="s">
        <v>91</v>
      </c>
      <c r="B13">
        <v>82</v>
      </c>
      <c r="C13" t="s">
        <v>103</v>
      </c>
      <c r="D13" t="s">
        <v>106</v>
      </c>
      <c r="E13" t="s">
        <v>80</v>
      </c>
      <c r="F13" s="1"/>
    </row>
    <row r="14" spans="1:11" x14ac:dyDescent="0.25">
      <c r="F14" s="1"/>
    </row>
    <row r="15" spans="1:11" x14ac:dyDescent="0.25">
      <c r="F15" s="1"/>
    </row>
    <row r="16" spans="1:11" x14ac:dyDescent="0.25">
      <c r="F16" s="1"/>
    </row>
    <row r="17" spans="6:6" x14ac:dyDescent="0.25">
      <c r="F17" s="1"/>
    </row>
    <row r="18" spans="6:6" x14ac:dyDescent="0.25">
      <c r="F18" s="1"/>
    </row>
    <row r="19" spans="6:6" x14ac:dyDescent="0.25">
      <c r="F19" s="1"/>
    </row>
    <row r="20" spans="6:6" x14ac:dyDescent="0.25">
      <c r="F20" s="1"/>
    </row>
    <row r="21" spans="6:6" x14ac:dyDescent="0.25">
      <c r="F21" s="1"/>
    </row>
    <row r="22" spans="6:6" x14ac:dyDescent="0.25">
      <c r="F22" s="1"/>
    </row>
    <row r="23" spans="6:6" x14ac:dyDescent="0.25">
      <c r="F23" s="1"/>
    </row>
    <row r="24" spans="6:6" x14ac:dyDescent="0.25">
      <c r="F24" s="1"/>
    </row>
    <row r="25" spans="6:6" x14ac:dyDescent="0.25">
      <c r="F25" s="1"/>
    </row>
    <row r="26" spans="6:6" x14ac:dyDescent="0.25">
      <c r="F26" s="1"/>
    </row>
    <row r="27" spans="6:6" x14ac:dyDescent="0.25">
      <c r="F27" s="1"/>
    </row>
    <row r="28" spans="6:6" x14ac:dyDescent="0.25">
      <c r="F28" s="1"/>
    </row>
    <row r="29" spans="6:6" x14ac:dyDescent="0.25">
      <c r="F29" s="1"/>
    </row>
    <row r="30" spans="6:6" x14ac:dyDescent="0.25">
      <c r="F30" s="1"/>
    </row>
    <row r="31" spans="6:6" x14ac:dyDescent="0.25">
      <c r="F31" s="1"/>
    </row>
    <row r="32" spans="6:6" x14ac:dyDescent="0.25">
      <c r="F32" s="1"/>
    </row>
    <row r="33" spans="6:6" x14ac:dyDescent="0.25">
      <c r="F33" s="1"/>
    </row>
    <row r="34" spans="6:6" x14ac:dyDescent="0.25">
      <c r="F34" s="1"/>
    </row>
    <row r="35" spans="6:6" x14ac:dyDescent="0.25">
      <c r="F35" s="1"/>
    </row>
    <row r="36" spans="6:6" x14ac:dyDescent="0.25">
      <c r="F36" s="1"/>
    </row>
    <row r="37" spans="6:6" x14ac:dyDescent="0.25">
      <c r="F37" s="1"/>
    </row>
    <row r="38" spans="6:6" x14ac:dyDescent="0.25">
      <c r="F38" s="1"/>
    </row>
    <row r="39" spans="6:6" x14ac:dyDescent="0.25">
      <c r="F39" s="1"/>
    </row>
    <row r="40" spans="6:6" x14ac:dyDescent="0.25">
      <c r="F40" s="1"/>
    </row>
    <row r="41" spans="6:6" x14ac:dyDescent="0.25">
      <c r="F41" s="1"/>
    </row>
    <row r="42" spans="6:6" x14ac:dyDescent="0.25">
      <c r="F42" s="1"/>
    </row>
    <row r="43" spans="6:6" x14ac:dyDescent="0.25">
      <c r="F43" s="1"/>
    </row>
    <row r="44" spans="6:6" x14ac:dyDescent="0.25">
      <c r="F44" s="1"/>
    </row>
    <row r="45" spans="6:6" x14ac:dyDescent="0.25">
      <c r="F45" s="1"/>
    </row>
    <row r="46" spans="6:6" x14ac:dyDescent="0.25">
      <c r="F46" s="1"/>
    </row>
  </sheetData>
  <mergeCells count="1">
    <mergeCell ref="J1:K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6"/>
  <sheetViews>
    <sheetView zoomScaleNormal="100" workbookViewId="0">
      <selection activeCell="E6" sqref="E6"/>
    </sheetView>
  </sheetViews>
  <sheetFormatPr defaultRowHeight="15" x14ac:dyDescent="0.25"/>
  <cols>
    <col min="2" max="2" width="8.140625" customWidth="1"/>
    <col min="3" max="3" width="15.5703125" customWidth="1"/>
    <col min="6" max="6" width="14.42578125" customWidth="1"/>
    <col min="9" max="9" width="10.28515625" customWidth="1"/>
    <col min="13" max="13" width="23.140625" bestFit="1" customWidth="1"/>
  </cols>
  <sheetData>
    <row r="1" spans="1:14" x14ac:dyDescent="0.25">
      <c r="A1" s="25" t="s">
        <v>16</v>
      </c>
      <c r="B1" s="25" t="s">
        <v>6</v>
      </c>
      <c r="C1" s="25" t="s">
        <v>17</v>
      </c>
      <c r="D1" s="25" t="s">
        <v>18</v>
      </c>
      <c r="E1" s="25" t="s">
        <v>19</v>
      </c>
      <c r="F1" s="25" t="s">
        <v>20</v>
      </c>
      <c r="G1" s="25" t="s">
        <v>5</v>
      </c>
      <c r="H1" s="25"/>
      <c r="I1" s="25" t="s">
        <v>6</v>
      </c>
      <c r="J1" s="25" t="s">
        <v>19</v>
      </c>
      <c r="K1" s="25" t="s">
        <v>22</v>
      </c>
      <c r="M1" s="31" t="s">
        <v>58</v>
      </c>
      <c r="N1" s="31"/>
    </row>
    <row r="2" spans="1:14" x14ac:dyDescent="0.25">
      <c r="A2" t="s">
        <v>21</v>
      </c>
      <c r="B2">
        <v>2</v>
      </c>
      <c r="C2" t="s">
        <v>108</v>
      </c>
      <c r="D2" t="s">
        <v>13</v>
      </c>
      <c r="E2" t="s">
        <v>104</v>
      </c>
      <c r="F2" t="s">
        <v>113</v>
      </c>
      <c r="I2">
        <v>2</v>
      </c>
      <c r="J2" t="s">
        <v>70</v>
      </c>
      <c r="K2" t="s">
        <v>23</v>
      </c>
      <c r="M2" s="21" t="s">
        <v>66</v>
      </c>
      <c r="N2" s="21">
        <f>COUNTA(B:B)-1</f>
        <v>5</v>
      </c>
    </row>
    <row r="3" spans="1:14" x14ac:dyDescent="0.25">
      <c r="A3" t="s">
        <v>21</v>
      </c>
      <c r="B3">
        <v>3</v>
      </c>
      <c r="C3" t="s">
        <v>109</v>
      </c>
      <c r="D3" t="s">
        <v>13</v>
      </c>
      <c r="E3" t="s">
        <v>104</v>
      </c>
      <c r="F3" t="s">
        <v>113</v>
      </c>
      <c r="I3">
        <v>4</v>
      </c>
      <c r="J3" t="s">
        <v>72</v>
      </c>
      <c r="K3" t="s">
        <v>23</v>
      </c>
      <c r="M3" s="21" t="s">
        <v>67</v>
      </c>
      <c r="N3" s="21">
        <f>COUNTIFS(G:G,"Y")</f>
        <v>3</v>
      </c>
    </row>
    <row r="4" spans="1:14" x14ac:dyDescent="0.25">
      <c r="A4" t="s">
        <v>21</v>
      </c>
      <c r="B4">
        <v>4</v>
      </c>
      <c r="C4" t="s">
        <v>110</v>
      </c>
      <c r="D4" t="s">
        <v>13</v>
      </c>
      <c r="E4" t="s">
        <v>105</v>
      </c>
      <c r="F4" t="s">
        <v>114</v>
      </c>
      <c r="G4" t="s">
        <v>9</v>
      </c>
      <c r="I4">
        <v>6</v>
      </c>
      <c r="J4" t="s">
        <v>71</v>
      </c>
      <c r="K4" t="s">
        <v>23</v>
      </c>
      <c r="M4" s="21" t="s">
        <v>68</v>
      </c>
      <c r="N4" s="24">
        <f>N2-N3</f>
        <v>2</v>
      </c>
    </row>
    <row r="5" spans="1:14" x14ac:dyDescent="0.25">
      <c r="A5" t="s">
        <v>21</v>
      </c>
      <c r="B5">
        <v>5</v>
      </c>
      <c r="C5" t="s">
        <v>111</v>
      </c>
      <c r="D5" t="s">
        <v>12</v>
      </c>
      <c r="E5" t="s">
        <v>106</v>
      </c>
      <c r="F5" t="s">
        <v>114</v>
      </c>
      <c r="G5" t="s">
        <v>9</v>
      </c>
      <c r="M5" s="21" t="s">
        <v>69</v>
      </c>
      <c r="N5" s="21">
        <f>SUMPRODUCT(1/COUNTIF(I:I,I:I&amp;""))-2</f>
        <v>2.9999999999854481</v>
      </c>
    </row>
    <row r="6" spans="1:14" x14ac:dyDescent="0.25">
      <c r="A6" t="s">
        <v>21</v>
      </c>
      <c r="B6">
        <v>6</v>
      </c>
      <c r="C6" t="s">
        <v>112</v>
      </c>
      <c r="D6" t="s">
        <v>13</v>
      </c>
      <c r="E6" t="s">
        <v>105</v>
      </c>
      <c r="F6" t="s">
        <v>113</v>
      </c>
      <c r="G6" t="s">
        <v>9</v>
      </c>
      <c r="M6" s="21" t="s">
        <v>85</v>
      </c>
      <c r="N6" s="24">
        <f>N2-N5</f>
        <v>2.0000000000145519</v>
      </c>
    </row>
  </sheetData>
  <mergeCells count="1">
    <mergeCell ref="M1:N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Index</vt:lpstr>
      <vt:lpstr>1-ALM Login</vt:lpstr>
      <vt:lpstr>2-TCER TQC</vt:lpstr>
      <vt:lpstr>3-Defects TQC</vt:lpstr>
      <vt:lpstr>TCER data</vt:lpstr>
      <vt:lpstr>Defect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Acharya</cp:lastModifiedBy>
  <dcterms:created xsi:type="dcterms:W3CDTF">2006-09-16T00:00:00Z</dcterms:created>
  <dcterms:modified xsi:type="dcterms:W3CDTF">2016-09-24T14:02:41Z</dcterms:modified>
</cp:coreProperties>
</file>